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omp-ms" sheetId="1" r:id="rId4"/>
    <sheet state="visible" name="percentiles" sheetId="2" r:id="rId5"/>
    <sheet state="visible" name="Sheet1" sheetId="3" r:id="rId6"/>
  </sheets>
  <definedNames>
    <definedName hidden="1" localSheetId="1" name="_xlnm._FilterDatabase">percentiles!$A$1:$A$1000</definedName>
  </definedNames>
  <calcPr/>
</workbook>
</file>

<file path=xl/sharedStrings.xml><?xml version="1.0" encoding="utf-8"?>
<sst xmlns="http://schemas.openxmlformats.org/spreadsheetml/2006/main" count="140" uniqueCount="35">
  <si>
    <t>ds</t>
  </si>
  <si>
    <t>dep_var</t>
  </si>
  <si>
    <t>season</t>
  </si>
  <si>
    <t>holiday</t>
  </si>
  <si>
    <t>trend</t>
  </si>
  <si>
    <t>events_events</t>
  </si>
  <si>
    <t>sales_sales</t>
  </si>
  <si>
    <t>criteo_cost</t>
  </si>
  <si>
    <t>facebook_ads_brand_awareness_cost</t>
  </si>
  <si>
    <t>facebook_ads_conversions_cost</t>
  </si>
  <si>
    <t>facebook_ads_performance_engagement_cost</t>
  </si>
  <si>
    <t>google_ads_display_only_cost</t>
  </si>
  <si>
    <t>google_ads_search_brand_cost</t>
  </si>
  <si>
    <t>google_ads_search_kids_cost</t>
  </si>
  <si>
    <t>google_ads_search_men_cost</t>
  </si>
  <si>
    <t>google_ads_search_others_cost</t>
  </si>
  <si>
    <t>google_ads_search_women_cost</t>
  </si>
  <si>
    <t>google_ads_shopping_cost</t>
  </si>
  <si>
    <t>google_ads_video_cost</t>
  </si>
  <si>
    <t>email_sales_events_delivered</t>
  </si>
  <si>
    <t>emails_bau_performance_delivered</t>
  </si>
  <si>
    <t>emails_campaigns_collab_delivered</t>
  </si>
  <si>
    <t>emails_delivered</t>
  </si>
  <si>
    <t>youtube_organic_impressions</t>
  </si>
  <si>
    <t>intercept</t>
  </si>
  <si>
    <t>depVarHat</t>
  </si>
  <si>
    <t>solID</t>
  </si>
  <si>
    <t>cluster</t>
  </si>
  <si>
    <t>top_sol</t>
  </si>
  <si>
    <t>3_623_8</t>
  </si>
  <si>
    <t>Ratios DepVarHat/DepVar -1</t>
  </si>
  <si>
    <t>99 Samples out of 107 are between -0.52 and +0.51</t>
  </si>
  <si>
    <t>facebook_ads_conversions_cost in</t>
  </si>
  <si>
    <t>facebook_ads_conversions_cost out</t>
  </si>
  <si>
    <t>Linear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</si>
</sst>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0" fontId="1" numFmtId="0" xfId="0" applyFont="1"/>
    <xf borderId="0" fillId="4" fontId="1" numFmtId="11" xfId="0" applyAlignment="1" applyFont="1" applyNumberFormat="1">
      <alignment readingOrder="0"/>
    </xf>
    <xf borderId="0" fillId="2" fontId="1" numFmtId="0" xfId="0" applyFont="1"/>
    <xf borderId="0" fillId="3" fontId="1" numFmtId="0" xfId="0" applyFont="1"/>
    <xf borderId="0" fillId="4" fontId="1" numFmtId="0" xfId="0" applyFont="1"/>
    <xf borderId="1" fillId="5" fontId="2" numFmtId="0" xfId="0" applyAlignment="1" applyBorder="1" applyFill="1" applyFont="1">
      <alignment readingOrder="0"/>
    </xf>
    <xf borderId="0" fillId="4" fontId="3" numFmtId="0" xfId="0" applyAlignment="1" applyFont="1">
      <alignment readingOrder="0" vertical="bottom"/>
    </xf>
    <xf borderId="0" fillId="4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facebook_ads_conversions_cost out vs. facebook_ads_conversions_cost in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Sheet1!$B$2:$B$105</c:f>
            </c:numRef>
          </c:xVal>
          <c:yVal>
            <c:numRef>
              <c:f>Sheet1!$C$2:$C$105</c:f>
              <c:numCache/>
            </c:numRef>
          </c:yVal>
        </c:ser>
        <c:ser>
          <c:idx val="1"/>
          <c:order val="1"/>
          <c:tx>
            <c:strRef>
              <c:f>Sheet1!$F$1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Sheet1!$B$2:$B$105</c:f>
            </c:numRef>
          </c:xVal>
          <c:yVal>
            <c:numRef>
              <c:f>Sheet1!$F$2:$F$105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283809"/>
        <c:axId val="74895366"/>
      </c:scatterChart>
      <c:valAx>
        <c:axId val="1200283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facebook_ads_conversions_cost 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95366"/>
      </c:valAx>
      <c:valAx>
        <c:axId val="74895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facebook_ads_conversions_cost out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2838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2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9.5"/>
    <col customWidth="1" min="11" max="11" width="25.13"/>
    <col customWidth="1" min="17" max="17" width="25.13"/>
  </cols>
  <sheetData>
    <row r="1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1</v>
      </c>
    </row>
    <row r="2">
      <c r="A2" s="4">
        <v>1.0</v>
      </c>
      <c r="B2" s="5">
        <v>44564.0</v>
      </c>
      <c r="C2" s="1">
        <v>109012.15</v>
      </c>
      <c r="D2" s="2">
        <v>44489.060298276</v>
      </c>
      <c r="E2" s="2">
        <v>-3225.45338831902</v>
      </c>
      <c r="F2" s="2">
        <v>12019.2399660692</v>
      </c>
      <c r="G2" s="3">
        <v>0.0</v>
      </c>
      <c r="H2" s="3">
        <v>0.0</v>
      </c>
      <c r="I2" s="3">
        <v>0.0</v>
      </c>
      <c r="J2" s="3">
        <v>0.0</v>
      </c>
      <c r="K2" s="3">
        <v>6954.51337644882</v>
      </c>
      <c r="L2" s="3">
        <v>0.0</v>
      </c>
      <c r="M2" s="3">
        <v>0.0</v>
      </c>
      <c r="N2" s="3">
        <v>2149.52710730098</v>
      </c>
      <c r="O2" s="3">
        <v>771.435608918108</v>
      </c>
      <c r="P2" s="3">
        <v>4392.74582560665</v>
      </c>
      <c r="Q2" s="3">
        <v>10922.4480897723</v>
      </c>
      <c r="R2" s="3">
        <v>945.916112879695</v>
      </c>
      <c r="S2" s="3">
        <v>13552.7286479925</v>
      </c>
      <c r="T2" s="3">
        <v>0.0</v>
      </c>
      <c r="U2" s="3">
        <v>15387.2372094356</v>
      </c>
      <c r="V2" s="3">
        <v>0.0</v>
      </c>
      <c r="W2" s="3">
        <v>0.0</v>
      </c>
      <c r="X2" s="3">
        <v>69.3391659355431</v>
      </c>
      <c r="Y2" s="3">
        <v>0.0</v>
      </c>
      <c r="Z2" s="2">
        <v>0.0</v>
      </c>
      <c r="AA2" s="1">
        <v>108428.738020316</v>
      </c>
      <c r="AB2" s="2" t="s">
        <v>29</v>
      </c>
      <c r="AC2" s="2">
        <v>1.0</v>
      </c>
      <c r="AD2" s="2" t="b">
        <v>1</v>
      </c>
      <c r="AE2" s="1">
        <v>109012.15</v>
      </c>
      <c r="AF2" s="6">
        <f t="shared" ref="AF2:AF105" si="1">AE2/AA2-1</f>
        <v>0.005380602876</v>
      </c>
    </row>
    <row r="3">
      <c r="A3" s="4">
        <v>2.0</v>
      </c>
      <c r="B3" s="5">
        <v>44571.0</v>
      </c>
      <c r="C3" s="1">
        <v>73283.61</v>
      </c>
      <c r="D3" s="2">
        <v>55031.7314403648</v>
      </c>
      <c r="E3" s="2">
        <v>0.0</v>
      </c>
      <c r="F3" s="2">
        <v>12002.4823302884</v>
      </c>
      <c r="G3" s="3">
        <v>0.0</v>
      </c>
      <c r="H3" s="3">
        <v>0.0</v>
      </c>
      <c r="I3" s="3">
        <v>0.0</v>
      </c>
      <c r="J3" s="3">
        <v>0.0</v>
      </c>
      <c r="K3" s="3">
        <v>4001.12614903585</v>
      </c>
      <c r="L3" s="3">
        <v>0.0</v>
      </c>
      <c r="M3" s="3">
        <v>0.0</v>
      </c>
      <c r="N3" s="3">
        <v>862.471316240117</v>
      </c>
      <c r="O3" s="3">
        <v>1500.1231254273</v>
      </c>
      <c r="P3" s="3">
        <v>4097.20994228916</v>
      </c>
      <c r="Q3" s="3">
        <v>8778.99520187418</v>
      </c>
      <c r="R3" s="3">
        <v>899.110425108884</v>
      </c>
      <c r="S3" s="3">
        <v>13458.8880314544</v>
      </c>
      <c r="T3" s="3">
        <v>0.0</v>
      </c>
      <c r="U3" s="3">
        <v>16125.722250039</v>
      </c>
      <c r="V3" s="3">
        <v>0.0</v>
      </c>
      <c r="W3" s="3">
        <v>0.0</v>
      </c>
      <c r="X3" s="3">
        <v>2.20405724647732</v>
      </c>
      <c r="Y3" s="3">
        <v>0.0</v>
      </c>
      <c r="Z3" s="2">
        <v>0.0</v>
      </c>
      <c r="AA3" s="1">
        <v>116760.064269369</v>
      </c>
      <c r="AB3" s="2" t="s">
        <v>29</v>
      </c>
      <c r="AC3" s="2">
        <v>1.0</v>
      </c>
      <c r="AD3" s="2" t="b">
        <v>1</v>
      </c>
      <c r="AE3" s="1">
        <v>73283.61</v>
      </c>
      <c r="AF3" s="6">
        <f t="shared" si="1"/>
        <v>-0.3723572314</v>
      </c>
    </row>
    <row r="4">
      <c r="A4" s="4">
        <v>3.0</v>
      </c>
      <c r="B4" s="5">
        <v>44578.0</v>
      </c>
      <c r="C4" s="1">
        <v>131683.31</v>
      </c>
      <c r="D4" s="2">
        <v>45052.0253539615</v>
      </c>
      <c r="E4" s="2">
        <v>0.0</v>
      </c>
      <c r="F4" s="2">
        <v>11985.7246945076</v>
      </c>
      <c r="G4" s="3">
        <v>0.0</v>
      </c>
      <c r="H4" s="3">
        <v>0.0</v>
      </c>
      <c r="I4" s="3">
        <v>0.0</v>
      </c>
      <c r="J4" s="3">
        <v>0.0</v>
      </c>
      <c r="K4" s="3">
        <v>3074.29411018712</v>
      </c>
      <c r="L4" s="3">
        <v>0.0</v>
      </c>
      <c r="M4" s="3">
        <v>0.0</v>
      </c>
      <c r="N4" s="3">
        <v>631.890146711787</v>
      </c>
      <c r="O4" s="3">
        <v>1557.94627097368</v>
      </c>
      <c r="P4" s="3">
        <v>3733.84059627019</v>
      </c>
      <c r="Q4" s="3">
        <v>7921.29158697246</v>
      </c>
      <c r="R4" s="3">
        <v>834.651059242851</v>
      </c>
      <c r="S4" s="3">
        <v>13038.2608245562</v>
      </c>
      <c r="T4" s="3">
        <v>0.0</v>
      </c>
      <c r="U4" s="3">
        <v>20858.5329228345</v>
      </c>
      <c r="V4" s="3">
        <v>0.0</v>
      </c>
      <c r="W4" s="3">
        <v>6475.12956612772</v>
      </c>
      <c r="X4" s="3">
        <v>0.0385429515544082</v>
      </c>
      <c r="Y4" s="3">
        <v>0.0</v>
      </c>
      <c r="Z4" s="2">
        <v>0.0</v>
      </c>
      <c r="AA4" s="1">
        <v>115163.625675297</v>
      </c>
      <c r="AB4" s="2" t="s">
        <v>29</v>
      </c>
      <c r="AC4" s="2">
        <v>1.0</v>
      </c>
      <c r="AD4" s="2" t="b">
        <v>1</v>
      </c>
      <c r="AE4" s="1">
        <v>131683.31</v>
      </c>
      <c r="AF4" s="6">
        <f t="shared" si="1"/>
        <v>0.1434453303</v>
      </c>
    </row>
    <row r="5">
      <c r="A5" s="4">
        <v>4.0</v>
      </c>
      <c r="B5" s="5">
        <v>44585.0</v>
      </c>
      <c r="C5" s="1">
        <v>100509.72</v>
      </c>
      <c r="D5" s="2">
        <v>25675.8810054109</v>
      </c>
      <c r="E5" s="2">
        <v>0.0</v>
      </c>
      <c r="F5" s="2">
        <v>11968.9670587268</v>
      </c>
      <c r="G5" s="3">
        <v>0.0</v>
      </c>
      <c r="H5" s="3">
        <v>0.0</v>
      </c>
      <c r="I5" s="3">
        <v>0.0</v>
      </c>
      <c r="J5" s="3">
        <v>0.0</v>
      </c>
      <c r="K5" s="3">
        <v>2603.82251205581</v>
      </c>
      <c r="L5" s="3">
        <v>0.0</v>
      </c>
      <c r="M5" s="3">
        <v>0.0</v>
      </c>
      <c r="N5" s="3">
        <v>1042.58586581889</v>
      </c>
      <c r="O5" s="3">
        <v>1324.02371867815</v>
      </c>
      <c r="P5" s="3">
        <v>3861.205063574</v>
      </c>
      <c r="Q5" s="3">
        <v>9168.05037326572</v>
      </c>
      <c r="R5" s="3">
        <v>794.431447275146</v>
      </c>
      <c r="S5" s="3">
        <v>13045.4667956484</v>
      </c>
      <c r="T5" s="3">
        <v>0.0</v>
      </c>
      <c r="U5" s="3">
        <v>30102.0993660935</v>
      </c>
      <c r="V5" s="3">
        <v>0.0</v>
      </c>
      <c r="W5" s="3">
        <v>6888.44219897016</v>
      </c>
      <c r="X5" s="3">
        <v>3.84087627187005E-4</v>
      </c>
      <c r="Y5" s="3">
        <v>0.0</v>
      </c>
      <c r="Z5" s="2">
        <v>0.0</v>
      </c>
      <c r="AA5" s="1">
        <v>106474.975789605</v>
      </c>
      <c r="AB5" s="2" t="s">
        <v>29</v>
      </c>
      <c r="AC5" s="2">
        <v>1.0</v>
      </c>
      <c r="AD5" s="2" t="b">
        <v>1</v>
      </c>
      <c r="AE5" s="1">
        <v>100509.72</v>
      </c>
      <c r="AF5" s="6">
        <f t="shared" si="1"/>
        <v>-0.05602495559</v>
      </c>
    </row>
    <row r="6">
      <c r="A6" s="4">
        <v>5.0</v>
      </c>
      <c r="B6" s="5">
        <v>44592.0</v>
      </c>
      <c r="C6" s="1">
        <v>67467.38</v>
      </c>
      <c r="D6" s="2">
        <v>10401.2739778214</v>
      </c>
      <c r="E6" s="2">
        <v>0.0</v>
      </c>
      <c r="F6" s="2">
        <v>11952.2095461221</v>
      </c>
      <c r="G6" s="3">
        <v>0.0</v>
      </c>
      <c r="H6" s="3">
        <v>0.0</v>
      </c>
      <c r="I6" s="3">
        <v>0.0</v>
      </c>
      <c r="J6" s="3">
        <v>0.0</v>
      </c>
      <c r="K6" s="3">
        <v>1977.13144589766</v>
      </c>
      <c r="L6" s="3">
        <v>0.0</v>
      </c>
      <c r="M6" s="3">
        <v>0.0</v>
      </c>
      <c r="N6" s="3">
        <v>709.994043672917</v>
      </c>
      <c r="O6" s="3">
        <v>1421.60849110742</v>
      </c>
      <c r="P6" s="3">
        <v>3698.06418006347</v>
      </c>
      <c r="Q6" s="3">
        <v>7446.71588259677</v>
      </c>
      <c r="R6" s="3">
        <v>685.644968922601</v>
      </c>
      <c r="S6" s="3">
        <v>12722.5319866634</v>
      </c>
      <c r="T6" s="3">
        <v>0.0</v>
      </c>
      <c r="U6" s="3">
        <v>8441.36361494275</v>
      </c>
      <c r="V6" s="3">
        <v>0.0</v>
      </c>
      <c r="W6" s="3">
        <v>5277.38187282882</v>
      </c>
      <c r="X6" s="7">
        <v>2.23425467154488E-6</v>
      </c>
      <c r="Y6" s="3">
        <v>0.0</v>
      </c>
      <c r="Z6" s="2">
        <v>0.0</v>
      </c>
      <c r="AA6" s="1">
        <v>64733.9200128736</v>
      </c>
      <c r="AB6" s="2" t="s">
        <v>29</v>
      </c>
      <c r="AC6" s="2">
        <v>1.0</v>
      </c>
      <c r="AD6" s="2" t="b">
        <v>1</v>
      </c>
      <c r="AE6" s="1">
        <v>67467.38</v>
      </c>
      <c r="AF6" s="6">
        <f t="shared" si="1"/>
        <v>0.04222608466</v>
      </c>
    </row>
    <row r="7">
      <c r="A7" s="4">
        <v>6.0</v>
      </c>
      <c r="B7" s="5">
        <v>44599.0</v>
      </c>
      <c r="C7" s="1">
        <v>59977.47</v>
      </c>
      <c r="D7" s="2">
        <v>3490.68642576916</v>
      </c>
      <c r="E7" s="2">
        <v>0.0</v>
      </c>
      <c r="F7" s="2">
        <v>11935.4520335174</v>
      </c>
      <c r="G7" s="3">
        <v>0.0</v>
      </c>
      <c r="H7" s="3">
        <v>0.0</v>
      </c>
      <c r="I7" s="3">
        <v>0.0</v>
      </c>
      <c r="J7" s="3">
        <v>0.0</v>
      </c>
      <c r="K7" s="3">
        <v>484.368068307876</v>
      </c>
      <c r="L7" s="3">
        <v>0.0</v>
      </c>
      <c r="M7" s="3">
        <v>0.0</v>
      </c>
      <c r="N7" s="3">
        <v>516.288171050669</v>
      </c>
      <c r="O7" s="3">
        <v>1575.2503372165</v>
      </c>
      <c r="P7" s="3">
        <v>3450.19355635956</v>
      </c>
      <c r="Q7" s="3">
        <v>6278.15158852923</v>
      </c>
      <c r="R7" s="3">
        <v>620.467760755221</v>
      </c>
      <c r="S7" s="3">
        <v>12831.2348750451</v>
      </c>
      <c r="T7" s="3">
        <v>0.0</v>
      </c>
      <c r="U7" s="3">
        <v>18527.8714085619</v>
      </c>
      <c r="V7" s="3">
        <v>0.0</v>
      </c>
      <c r="W7" s="3">
        <v>2318.84993891639</v>
      </c>
      <c r="X7" s="7">
        <v>7.73920645485658E-9</v>
      </c>
      <c r="Y7" s="3">
        <v>0.0</v>
      </c>
      <c r="Z7" s="2">
        <v>0.0</v>
      </c>
      <c r="AA7" s="1">
        <v>62028.8141640368</v>
      </c>
      <c r="AB7" s="2" t="s">
        <v>29</v>
      </c>
      <c r="AC7" s="2">
        <v>1.0</v>
      </c>
      <c r="AD7" s="2" t="b">
        <v>1</v>
      </c>
      <c r="AE7" s="1">
        <v>59977.47</v>
      </c>
      <c r="AF7" s="6">
        <f t="shared" si="1"/>
        <v>-0.03307082671</v>
      </c>
    </row>
    <row r="8">
      <c r="A8" s="4">
        <v>7.0</v>
      </c>
      <c r="B8" s="5">
        <v>44606.0</v>
      </c>
      <c r="C8" s="1">
        <v>50862.34</v>
      </c>
      <c r="D8" s="2">
        <v>286.893152395863</v>
      </c>
      <c r="E8" s="2">
        <v>0.0</v>
      </c>
      <c r="F8" s="2">
        <v>11918.6945209128</v>
      </c>
      <c r="G8" s="3">
        <v>0.0</v>
      </c>
      <c r="H8" s="3">
        <v>0.0</v>
      </c>
      <c r="I8" s="3">
        <v>0.0</v>
      </c>
      <c r="J8" s="3">
        <v>0.0</v>
      </c>
      <c r="K8" s="3">
        <v>642.896745417899</v>
      </c>
      <c r="L8" s="3">
        <v>0.0</v>
      </c>
      <c r="M8" s="3">
        <v>0.0</v>
      </c>
      <c r="N8" s="3">
        <v>3639.11824134819</v>
      </c>
      <c r="O8" s="3">
        <v>1702.15279240164</v>
      </c>
      <c r="P8" s="3">
        <v>3834.66944964283</v>
      </c>
      <c r="Q8" s="3">
        <v>8059.99151538313</v>
      </c>
      <c r="R8" s="3">
        <v>633.561615872499</v>
      </c>
      <c r="S8" s="3">
        <v>12734.0147435556</v>
      </c>
      <c r="T8" s="3">
        <v>0.0</v>
      </c>
      <c r="U8" s="3">
        <v>18468.6214607063</v>
      </c>
      <c r="V8" s="3">
        <v>0.0</v>
      </c>
      <c r="W8" s="3">
        <v>417.788859725075</v>
      </c>
      <c r="X8" s="7">
        <v>1.62369995657199E-11</v>
      </c>
      <c r="Y8" s="3">
        <v>0.0</v>
      </c>
      <c r="Z8" s="2">
        <v>0.0</v>
      </c>
      <c r="AA8" s="1">
        <v>62338.4030973618</v>
      </c>
      <c r="AB8" s="2" t="s">
        <v>29</v>
      </c>
      <c r="AC8" s="2">
        <v>1.0</v>
      </c>
      <c r="AD8" s="2" t="b">
        <v>1</v>
      </c>
      <c r="AE8" s="1">
        <v>50862.34</v>
      </c>
      <c r="AF8" s="6">
        <f t="shared" si="1"/>
        <v>-0.1840929913</v>
      </c>
    </row>
    <row r="9">
      <c r="A9" s="4">
        <v>8.0</v>
      </c>
      <c r="B9" s="5">
        <v>44613.0</v>
      </c>
      <c r="C9" s="1">
        <v>51206.7</v>
      </c>
      <c r="D9" s="2">
        <v>-4126.25009874575</v>
      </c>
      <c r="E9" s="2">
        <v>0.0</v>
      </c>
      <c r="F9" s="2">
        <v>11901.9370083081</v>
      </c>
      <c r="G9" s="3">
        <v>0.0</v>
      </c>
      <c r="H9" s="3">
        <v>0.0</v>
      </c>
      <c r="I9" s="3">
        <v>0.0</v>
      </c>
      <c r="J9" s="3">
        <v>0.0</v>
      </c>
      <c r="K9" s="3">
        <v>220.078367503067</v>
      </c>
      <c r="L9" s="3">
        <v>0.0</v>
      </c>
      <c r="M9" s="3">
        <v>3.99052623827961</v>
      </c>
      <c r="N9" s="3">
        <v>887.479598146855</v>
      </c>
      <c r="O9" s="3">
        <v>1468.00140453693</v>
      </c>
      <c r="P9" s="3">
        <v>3285.29275506812</v>
      </c>
      <c r="Q9" s="3">
        <v>6352.91693047533</v>
      </c>
      <c r="R9" s="3">
        <v>612.044654846192</v>
      </c>
      <c r="S9" s="3">
        <v>12502.6934668115</v>
      </c>
      <c r="T9" s="3">
        <v>0.0</v>
      </c>
      <c r="U9" s="3">
        <v>8225.10231154743</v>
      </c>
      <c r="V9" s="3">
        <v>0.0</v>
      </c>
      <c r="W9" s="3">
        <v>6471.34361933521</v>
      </c>
      <c r="X9" s="7">
        <v>2.09402726069468E-14</v>
      </c>
      <c r="Y9" s="3">
        <v>0.0</v>
      </c>
      <c r="Z9" s="2">
        <v>0.0</v>
      </c>
      <c r="AA9" s="1">
        <v>47804.6305440713</v>
      </c>
      <c r="AB9" s="2" t="s">
        <v>29</v>
      </c>
      <c r="AC9" s="2">
        <v>1.0</v>
      </c>
      <c r="AD9" s="2" t="b">
        <v>1</v>
      </c>
      <c r="AE9" s="1">
        <v>51206.7</v>
      </c>
      <c r="AF9" s="6">
        <f t="shared" si="1"/>
        <v>0.07116610707</v>
      </c>
    </row>
    <row r="10">
      <c r="A10" s="4">
        <v>9.0</v>
      </c>
      <c r="B10" s="5">
        <v>44620.0</v>
      </c>
      <c r="C10" s="1">
        <v>42673.97</v>
      </c>
      <c r="D10" s="2">
        <v>-9048.40362075502</v>
      </c>
      <c r="E10" s="2">
        <v>0.0</v>
      </c>
      <c r="F10" s="2">
        <v>11885.1794957034</v>
      </c>
      <c r="G10" s="3">
        <v>0.0</v>
      </c>
      <c r="H10" s="3">
        <v>0.0</v>
      </c>
      <c r="I10" s="3">
        <v>0.0</v>
      </c>
      <c r="J10" s="3">
        <v>0.0</v>
      </c>
      <c r="K10" s="3">
        <v>476.308606742356</v>
      </c>
      <c r="L10" s="3">
        <v>0.0</v>
      </c>
      <c r="M10" s="3">
        <v>227.45838629144</v>
      </c>
      <c r="N10" s="3">
        <v>559.414419056336</v>
      </c>
      <c r="O10" s="3">
        <v>830.463043204563</v>
      </c>
      <c r="P10" s="3">
        <v>3033.87383245327</v>
      </c>
      <c r="Q10" s="3">
        <v>4899.05231234186</v>
      </c>
      <c r="R10" s="3">
        <v>527.408164386662</v>
      </c>
      <c r="S10" s="3">
        <v>11974.5936674457</v>
      </c>
      <c r="T10" s="3">
        <v>0.0</v>
      </c>
      <c r="U10" s="3">
        <v>7537.72488327662</v>
      </c>
      <c r="V10" s="3">
        <v>0.0</v>
      </c>
      <c r="W10" s="3">
        <v>6884.65739880453</v>
      </c>
      <c r="X10" s="7">
        <v>1.6818439467739E-17</v>
      </c>
      <c r="Y10" s="3">
        <v>0.0</v>
      </c>
      <c r="Z10" s="2">
        <v>0.0</v>
      </c>
      <c r="AA10" s="1">
        <v>39787.7305889518</v>
      </c>
      <c r="AB10" s="2" t="s">
        <v>29</v>
      </c>
      <c r="AC10" s="2">
        <v>1.0</v>
      </c>
      <c r="AD10" s="2" t="b">
        <v>1</v>
      </c>
      <c r="AE10" s="1">
        <v>42673.97</v>
      </c>
      <c r="AF10" s="6">
        <f t="shared" si="1"/>
        <v>0.07254094085</v>
      </c>
    </row>
    <row r="11">
      <c r="A11" s="4">
        <v>10.0</v>
      </c>
      <c r="B11" s="5">
        <v>44627.0</v>
      </c>
      <c r="C11" s="1">
        <v>45714.2</v>
      </c>
      <c r="D11" s="2">
        <v>-10573.3868802143</v>
      </c>
      <c r="E11" s="2">
        <v>0.0</v>
      </c>
      <c r="F11" s="2">
        <v>11868.4226787183</v>
      </c>
      <c r="G11" s="3">
        <v>0.0</v>
      </c>
      <c r="H11" s="3">
        <v>0.0</v>
      </c>
      <c r="I11" s="3">
        <v>0.0</v>
      </c>
      <c r="J11" s="3">
        <v>0.0</v>
      </c>
      <c r="K11" s="3">
        <v>4177.54779442252</v>
      </c>
      <c r="L11" s="3">
        <v>0.0</v>
      </c>
      <c r="M11" s="3">
        <v>3287.87525805851</v>
      </c>
      <c r="N11" s="3">
        <v>539.536234574819</v>
      </c>
      <c r="O11" s="3">
        <v>492.747823568641</v>
      </c>
      <c r="P11" s="3">
        <v>3302.91744025962</v>
      </c>
      <c r="Q11" s="3">
        <v>4579.04057750683</v>
      </c>
      <c r="R11" s="3">
        <v>499.306482751808</v>
      </c>
      <c r="S11" s="3">
        <v>11949.9395382946</v>
      </c>
      <c r="T11" s="3">
        <v>0.0</v>
      </c>
      <c r="U11" s="3">
        <v>2471.97503113309</v>
      </c>
      <c r="V11" s="3">
        <v>0.0</v>
      </c>
      <c r="W11" s="3">
        <v>5273.75681834845</v>
      </c>
      <c r="X11" s="3">
        <v>117.778993522214</v>
      </c>
      <c r="Y11" s="3">
        <v>0.0</v>
      </c>
      <c r="Z11" s="2">
        <v>0.0</v>
      </c>
      <c r="AA11" s="1">
        <v>37987.4577909452</v>
      </c>
      <c r="AB11" s="2" t="s">
        <v>29</v>
      </c>
      <c r="AC11" s="2">
        <v>1.0</v>
      </c>
      <c r="AD11" s="2" t="b">
        <v>1</v>
      </c>
      <c r="AE11" s="1">
        <v>45714.2</v>
      </c>
      <c r="AF11" s="6">
        <f t="shared" si="1"/>
        <v>0.2034024559</v>
      </c>
    </row>
    <row r="12">
      <c r="A12" s="4">
        <v>11.0</v>
      </c>
      <c r="B12" s="5">
        <v>44634.0</v>
      </c>
      <c r="C12" s="1">
        <v>49948.56</v>
      </c>
      <c r="D12" s="2">
        <v>-7512.45649737015</v>
      </c>
      <c r="E12" s="2">
        <v>0.0</v>
      </c>
      <c r="F12" s="2">
        <v>11851.6658617332</v>
      </c>
      <c r="G12" s="3">
        <v>0.0</v>
      </c>
      <c r="H12" s="3">
        <v>0.0</v>
      </c>
      <c r="I12" s="3">
        <v>0.0</v>
      </c>
      <c r="J12" s="3">
        <v>0.0</v>
      </c>
      <c r="K12" s="3">
        <v>3090.59958982508</v>
      </c>
      <c r="L12" s="3">
        <v>0.0</v>
      </c>
      <c r="M12" s="3">
        <v>13134.5530138889</v>
      </c>
      <c r="N12" s="3">
        <v>92.6370828909352</v>
      </c>
      <c r="O12" s="3">
        <v>363.97025889298</v>
      </c>
      <c r="P12" s="3">
        <v>3328.81453629294</v>
      </c>
      <c r="Q12" s="3">
        <v>8348.64715693773</v>
      </c>
      <c r="R12" s="3">
        <v>525.066047821654</v>
      </c>
      <c r="S12" s="3">
        <v>12165.1560402667</v>
      </c>
      <c r="T12" s="3">
        <v>0.0</v>
      </c>
      <c r="U12" s="3">
        <v>298.711798437464</v>
      </c>
      <c r="V12" s="3">
        <v>0.0</v>
      </c>
      <c r="W12" s="3">
        <v>2316.67198507125</v>
      </c>
      <c r="X12" s="3">
        <v>3165.50861847233</v>
      </c>
      <c r="Y12" s="3">
        <v>0.0</v>
      </c>
      <c r="Z12" s="2">
        <v>0.0</v>
      </c>
      <c r="AA12" s="1">
        <v>51169.5454931611</v>
      </c>
      <c r="AB12" s="2" t="s">
        <v>29</v>
      </c>
      <c r="AC12" s="2">
        <v>1.0</v>
      </c>
      <c r="AD12" s="2" t="b">
        <v>1</v>
      </c>
      <c r="AE12" s="1">
        <v>49948.56</v>
      </c>
      <c r="AF12" s="6">
        <f t="shared" si="1"/>
        <v>-0.02386156612</v>
      </c>
    </row>
    <row r="13">
      <c r="A13" s="4">
        <v>12.0</v>
      </c>
      <c r="B13" s="5">
        <v>44641.0</v>
      </c>
      <c r="C13" s="1">
        <v>68574.79</v>
      </c>
      <c r="D13" s="2">
        <v>-3193.81208946659</v>
      </c>
      <c r="E13" s="2">
        <v>0.0</v>
      </c>
      <c r="F13" s="2">
        <v>11834.9090447481</v>
      </c>
      <c r="G13" s="3">
        <v>0.0</v>
      </c>
      <c r="H13" s="3">
        <v>0.0</v>
      </c>
      <c r="I13" s="3">
        <v>0.0</v>
      </c>
      <c r="J13" s="3">
        <v>0.0</v>
      </c>
      <c r="K13" s="3">
        <v>2183.12104143825</v>
      </c>
      <c r="L13" s="3">
        <v>0.0</v>
      </c>
      <c r="M13" s="3">
        <v>20996.3270598077</v>
      </c>
      <c r="N13" s="3">
        <v>106.446685097267</v>
      </c>
      <c r="O13" s="3">
        <v>461.06696869526</v>
      </c>
      <c r="P13" s="3">
        <v>3708.39922253747</v>
      </c>
      <c r="Q13" s="3">
        <v>10361.2136920211</v>
      </c>
      <c r="R13" s="3">
        <v>512.126190434091</v>
      </c>
      <c r="S13" s="3">
        <v>12635.6536824935</v>
      </c>
      <c r="T13" s="3">
        <v>0.0</v>
      </c>
      <c r="U13" s="3">
        <v>36.5281602587398</v>
      </c>
      <c r="V13" s="3">
        <v>0.0</v>
      </c>
      <c r="W13" s="3">
        <v>417.328742949689</v>
      </c>
      <c r="X13" s="3">
        <v>4692.45066990037</v>
      </c>
      <c r="Y13" s="3">
        <v>0.0</v>
      </c>
      <c r="Z13" s="2">
        <v>0.0</v>
      </c>
      <c r="AA13" s="1">
        <v>64751.759070915</v>
      </c>
      <c r="AB13" s="2" t="s">
        <v>29</v>
      </c>
      <c r="AC13" s="2">
        <v>1.0</v>
      </c>
      <c r="AD13" s="2" t="b">
        <v>1</v>
      </c>
      <c r="AE13" s="1">
        <v>68574.79</v>
      </c>
      <c r="AF13" s="6">
        <f t="shared" si="1"/>
        <v>0.05904134473</v>
      </c>
    </row>
    <row r="14">
      <c r="A14" s="4">
        <v>13.0</v>
      </c>
      <c r="B14" s="5">
        <v>44648.0</v>
      </c>
      <c r="C14" s="1">
        <v>71420.31</v>
      </c>
      <c r="D14" s="2">
        <v>-1737.28412909179</v>
      </c>
      <c r="E14" s="2">
        <v>0.0</v>
      </c>
      <c r="F14" s="2">
        <v>11818.152227763</v>
      </c>
      <c r="G14" s="3">
        <v>0.0</v>
      </c>
      <c r="H14" s="3">
        <v>0.0</v>
      </c>
      <c r="I14" s="3">
        <v>0.0</v>
      </c>
      <c r="J14" s="3">
        <v>0.0</v>
      </c>
      <c r="K14" s="3">
        <v>2186.4840574724</v>
      </c>
      <c r="L14" s="3">
        <v>0.0</v>
      </c>
      <c r="M14" s="3">
        <v>23431.76866396</v>
      </c>
      <c r="N14" s="3">
        <v>1306.80456489165</v>
      </c>
      <c r="O14" s="3">
        <v>598.642901731592</v>
      </c>
      <c r="P14" s="3">
        <v>3879.70194003103</v>
      </c>
      <c r="Q14" s="3">
        <v>10581.9579354291</v>
      </c>
      <c r="R14" s="3">
        <v>483.685988343558</v>
      </c>
      <c r="S14" s="3">
        <v>12978.8412590932</v>
      </c>
      <c r="T14" s="3">
        <v>0.0</v>
      </c>
      <c r="U14" s="3">
        <v>369.724080333869</v>
      </c>
      <c r="V14" s="3">
        <v>0.0</v>
      </c>
      <c r="W14" s="3">
        <v>28.5378297897435</v>
      </c>
      <c r="X14" s="3">
        <v>5535.99795495096</v>
      </c>
      <c r="Y14" s="3">
        <v>0.0</v>
      </c>
      <c r="Z14" s="2">
        <v>0.0</v>
      </c>
      <c r="AA14" s="1">
        <v>71463.0152746984</v>
      </c>
      <c r="AB14" s="2" t="s">
        <v>29</v>
      </c>
      <c r="AC14" s="2">
        <v>1.0</v>
      </c>
      <c r="AD14" s="2" t="b">
        <v>1</v>
      </c>
      <c r="AE14" s="1">
        <v>71420.31</v>
      </c>
      <c r="AF14" s="6">
        <f t="shared" si="1"/>
        <v>-0.0005975856817</v>
      </c>
    </row>
    <row r="15">
      <c r="A15" s="4">
        <v>14.0</v>
      </c>
      <c r="B15" s="5">
        <v>44655.0</v>
      </c>
      <c r="C15" s="1">
        <v>75851.03</v>
      </c>
      <c r="D15" s="2">
        <v>-3962.30801278153</v>
      </c>
      <c r="E15" s="2">
        <v>0.0</v>
      </c>
      <c r="F15" s="2">
        <v>11801.3954107779</v>
      </c>
      <c r="G15" s="3">
        <v>0.0</v>
      </c>
      <c r="H15" s="3">
        <v>0.0</v>
      </c>
      <c r="I15" s="3">
        <v>0.0</v>
      </c>
      <c r="J15" s="3">
        <v>1428.92325447972</v>
      </c>
      <c r="K15" s="3">
        <v>1775.90812513569</v>
      </c>
      <c r="L15" s="3">
        <v>0.0</v>
      </c>
      <c r="M15" s="3">
        <v>21822.2518226428</v>
      </c>
      <c r="N15" s="3">
        <v>1738.81781409091</v>
      </c>
      <c r="O15" s="3">
        <v>894.983728253393</v>
      </c>
      <c r="P15" s="3">
        <v>4237.29154882774</v>
      </c>
      <c r="Q15" s="3">
        <v>12107.785761682</v>
      </c>
      <c r="R15" s="3">
        <v>586.453857053046</v>
      </c>
      <c r="S15" s="3">
        <v>13383.6301362282</v>
      </c>
      <c r="T15" s="3">
        <v>0.0</v>
      </c>
      <c r="U15" s="3">
        <v>5029.68300918109</v>
      </c>
      <c r="V15" s="3">
        <v>0.0</v>
      </c>
      <c r="W15" s="3">
        <v>0.741156244096868</v>
      </c>
      <c r="X15" s="3">
        <v>2509.14988117697</v>
      </c>
      <c r="Y15" s="3">
        <v>0.0</v>
      </c>
      <c r="Z15" s="2">
        <v>0.0</v>
      </c>
      <c r="AA15" s="1">
        <v>73354.707492992</v>
      </c>
      <c r="AB15" s="2" t="s">
        <v>29</v>
      </c>
      <c r="AC15" s="2">
        <v>1.0</v>
      </c>
      <c r="AD15" s="2" t="b">
        <v>1</v>
      </c>
      <c r="AE15" s="1">
        <v>75851.03</v>
      </c>
      <c r="AF15" s="6">
        <f t="shared" si="1"/>
        <v>0.03403084263</v>
      </c>
    </row>
    <row r="16">
      <c r="A16" s="4">
        <v>15.0</v>
      </c>
      <c r="B16" s="5">
        <v>44662.0</v>
      </c>
      <c r="C16" s="1">
        <v>69018.53</v>
      </c>
      <c r="D16" s="2">
        <v>-7493.09749951422</v>
      </c>
      <c r="E16" s="2">
        <v>2659.5295373072</v>
      </c>
      <c r="F16" s="2">
        <v>11784.6393943244</v>
      </c>
      <c r="G16" s="3">
        <v>0.0</v>
      </c>
      <c r="H16" s="3">
        <v>0.0</v>
      </c>
      <c r="I16" s="3">
        <v>0.0</v>
      </c>
      <c r="J16" s="3">
        <v>2539.31707834651</v>
      </c>
      <c r="K16" s="3">
        <v>1555.12578417283</v>
      </c>
      <c r="L16" s="3">
        <v>0.0</v>
      </c>
      <c r="M16" s="3">
        <v>15954.9260972549</v>
      </c>
      <c r="N16" s="3">
        <v>2458.6083200707</v>
      </c>
      <c r="O16" s="3">
        <v>1499.25033113323</v>
      </c>
      <c r="P16" s="3">
        <v>4255.63251920431</v>
      </c>
      <c r="Q16" s="3">
        <v>10622.8006401187</v>
      </c>
      <c r="R16" s="3">
        <v>672.653530128283</v>
      </c>
      <c r="S16" s="3">
        <v>13291.5121830855</v>
      </c>
      <c r="T16" s="3">
        <v>0.0</v>
      </c>
      <c r="U16" s="3">
        <v>4154.08536840076</v>
      </c>
      <c r="V16" s="3">
        <v>0.0</v>
      </c>
      <c r="W16" s="3">
        <v>0.0067918132460794</v>
      </c>
      <c r="X16" s="3">
        <v>398.97637921437</v>
      </c>
      <c r="Y16" s="3">
        <v>0.0</v>
      </c>
      <c r="Z16" s="2">
        <v>0.0</v>
      </c>
      <c r="AA16" s="1">
        <v>64353.9664550606</v>
      </c>
      <c r="AB16" s="2" t="s">
        <v>29</v>
      </c>
      <c r="AC16" s="2">
        <v>1.0</v>
      </c>
      <c r="AD16" s="2" t="b">
        <v>1</v>
      </c>
      <c r="AE16" s="1">
        <v>69018.53</v>
      </c>
      <c r="AF16" s="6">
        <f t="shared" si="1"/>
        <v>0.07248292222</v>
      </c>
    </row>
    <row r="17">
      <c r="A17" s="4">
        <v>16.0</v>
      </c>
      <c r="B17" s="5">
        <v>44669.0</v>
      </c>
      <c r="C17" s="1">
        <v>46979.28</v>
      </c>
      <c r="D17" s="2">
        <v>-9994.98344372913</v>
      </c>
      <c r="E17" s="2">
        <v>614.55054538661</v>
      </c>
      <c r="F17" s="2">
        <v>11767.8833778709</v>
      </c>
      <c r="G17" s="3">
        <v>0.0</v>
      </c>
      <c r="H17" s="3">
        <v>0.0</v>
      </c>
      <c r="I17" s="3">
        <v>0.0</v>
      </c>
      <c r="J17" s="3">
        <v>3723.29049041727</v>
      </c>
      <c r="K17" s="3">
        <v>2287.56141016359</v>
      </c>
      <c r="L17" s="3">
        <v>0.0</v>
      </c>
      <c r="M17" s="3">
        <v>8463.1861709027</v>
      </c>
      <c r="N17" s="3">
        <v>1532.87127012903</v>
      </c>
      <c r="O17" s="3">
        <v>1636.64510883396</v>
      </c>
      <c r="P17" s="3">
        <v>4333.82841440266</v>
      </c>
      <c r="Q17" s="3">
        <v>10780.3455741975</v>
      </c>
      <c r="R17" s="3">
        <v>718.694154941474</v>
      </c>
      <c r="S17" s="3">
        <v>12515.6246122867</v>
      </c>
      <c r="T17" s="3">
        <v>0.0</v>
      </c>
      <c r="U17" s="3">
        <v>1571.4541082436</v>
      </c>
      <c r="V17" s="3">
        <v>0.0</v>
      </c>
      <c r="W17" s="7">
        <v>1.9983115802457E-5</v>
      </c>
      <c r="X17" s="3">
        <v>25.9647022601463</v>
      </c>
      <c r="Y17" s="3">
        <v>0.0</v>
      </c>
      <c r="Z17" s="2">
        <v>0.0</v>
      </c>
      <c r="AA17" s="1">
        <v>49976.91651629</v>
      </c>
      <c r="AB17" s="2" t="s">
        <v>29</v>
      </c>
      <c r="AC17" s="2">
        <v>1.0</v>
      </c>
      <c r="AD17" s="2" t="b">
        <v>1</v>
      </c>
      <c r="AE17" s="1">
        <v>46979.28</v>
      </c>
      <c r="AF17" s="6">
        <f t="shared" si="1"/>
        <v>-0.05998042147</v>
      </c>
    </row>
    <row r="18">
      <c r="A18" s="4">
        <v>17.0</v>
      </c>
      <c r="B18" s="5">
        <v>44676.0</v>
      </c>
      <c r="C18" s="1">
        <v>39929.52</v>
      </c>
      <c r="D18" s="2">
        <v>-11296.6074332175</v>
      </c>
      <c r="E18" s="2">
        <v>-5726.36998677245</v>
      </c>
      <c r="F18" s="2">
        <v>11751.1273614173</v>
      </c>
      <c r="G18" s="3">
        <v>0.0</v>
      </c>
      <c r="H18" s="3">
        <v>0.0</v>
      </c>
      <c r="I18" s="3">
        <v>0.0</v>
      </c>
      <c r="J18" s="3">
        <v>4812.1203958293</v>
      </c>
      <c r="K18" s="3">
        <v>2878.32163233369</v>
      </c>
      <c r="L18" s="3">
        <v>0.0</v>
      </c>
      <c r="M18" s="3">
        <v>4787.60616513035</v>
      </c>
      <c r="N18" s="3">
        <v>3671.25363172412</v>
      </c>
      <c r="O18" s="3">
        <v>2173.44372856264</v>
      </c>
      <c r="P18" s="3">
        <v>4284.71817447401</v>
      </c>
      <c r="Q18" s="3">
        <v>9233.38306374927</v>
      </c>
      <c r="R18" s="3">
        <v>761.289933100564</v>
      </c>
      <c r="S18" s="3">
        <v>11513.7440088694</v>
      </c>
      <c r="T18" s="3">
        <v>0.0</v>
      </c>
      <c r="U18" s="3">
        <v>4258.08760671306</v>
      </c>
      <c r="V18" s="3">
        <v>0.0</v>
      </c>
      <c r="W18" s="7">
        <v>1.71922288000004E-8</v>
      </c>
      <c r="X18" s="3">
        <v>0.856120332393399</v>
      </c>
      <c r="Y18" s="3">
        <v>0.0</v>
      </c>
      <c r="Z18" s="2">
        <v>0.0</v>
      </c>
      <c r="AA18" s="1">
        <v>43102.9744022634</v>
      </c>
      <c r="AB18" s="2" t="s">
        <v>29</v>
      </c>
      <c r="AC18" s="2">
        <v>1.0</v>
      </c>
      <c r="AD18" s="2" t="b">
        <v>1</v>
      </c>
      <c r="AE18" s="1">
        <v>39929.52</v>
      </c>
      <c r="AF18" s="6">
        <f t="shared" si="1"/>
        <v>-0.07362495156</v>
      </c>
    </row>
    <row r="19">
      <c r="A19" s="4">
        <v>18.0</v>
      </c>
      <c r="B19" s="5">
        <v>44683.0</v>
      </c>
      <c r="C19" s="1">
        <v>39493.51</v>
      </c>
      <c r="D19" s="2">
        <v>-12529.3366809149</v>
      </c>
      <c r="E19" s="2">
        <v>0.0</v>
      </c>
      <c r="F19" s="2">
        <v>11734.3713449638</v>
      </c>
      <c r="G19" s="3">
        <v>0.0</v>
      </c>
      <c r="H19" s="3">
        <v>0.0</v>
      </c>
      <c r="I19" s="3">
        <v>0.0</v>
      </c>
      <c r="J19" s="3">
        <v>5310.15497018067</v>
      </c>
      <c r="K19" s="3">
        <v>2869.37619363396</v>
      </c>
      <c r="L19" s="3">
        <v>0.0</v>
      </c>
      <c r="M19" s="3">
        <v>4082.71346061171</v>
      </c>
      <c r="N19" s="3">
        <v>3279.83609054824</v>
      </c>
      <c r="O19" s="3">
        <v>2215.54697009489</v>
      </c>
      <c r="P19" s="3">
        <v>4340.89376335609</v>
      </c>
      <c r="Q19" s="3">
        <v>9362.89294918056</v>
      </c>
      <c r="R19" s="3">
        <v>727.038404963379</v>
      </c>
      <c r="S19" s="3">
        <v>10438.2412060565</v>
      </c>
      <c r="T19" s="3">
        <v>0.0</v>
      </c>
      <c r="U19" s="3">
        <v>4773.02476906285</v>
      </c>
      <c r="V19" s="3">
        <v>0.0</v>
      </c>
      <c r="W19" s="7">
        <v>3.94910642569552E-12</v>
      </c>
      <c r="X19" s="3">
        <v>0.015401780969044</v>
      </c>
      <c r="Y19" s="3">
        <v>0.0</v>
      </c>
      <c r="Z19" s="2">
        <v>0.0</v>
      </c>
      <c r="AA19" s="1">
        <v>46604.7688435188</v>
      </c>
      <c r="AB19" s="2" t="s">
        <v>29</v>
      </c>
      <c r="AC19" s="2">
        <v>1.0</v>
      </c>
      <c r="AD19" s="2" t="b">
        <v>1</v>
      </c>
      <c r="AE19" s="1">
        <v>39493.51</v>
      </c>
      <c r="AF19" s="6">
        <f t="shared" si="1"/>
        <v>-0.1525865061</v>
      </c>
    </row>
    <row r="20">
      <c r="A20" s="4">
        <v>19.0</v>
      </c>
      <c r="B20" s="5">
        <v>44690.0</v>
      </c>
      <c r="C20" s="1">
        <v>51258.68</v>
      </c>
      <c r="D20" s="2">
        <v>-14277.3330204229</v>
      </c>
      <c r="E20" s="2">
        <v>0.0</v>
      </c>
      <c r="F20" s="2">
        <v>11717.6153285103</v>
      </c>
      <c r="G20" s="3">
        <v>0.0</v>
      </c>
      <c r="H20" s="3">
        <v>0.0</v>
      </c>
      <c r="I20" s="3">
        <v>0.0</v>
      </c>
      <c r="J20" s="3">
        <v>5701.00605402473</v>
      </c>
      <c r="K20" s="3">
        <v>2897.2637033555</v>
      </c>
      <c r="L20" s="3">
        <v>0.0</v>
      </c>
      <c r="M20" s="3">
        <v>3949.36542974311</v>
      </c>
      <c r="N20" s="3">
        <v>731.71843113954</v>
      </c>
      <c r="O20" s="3">
        <v>1317.98090887304</v>
      </c>
      <c r="P20" s="3">
        <v>4195.74209837963</v>
      </c>
      <c r="Q20" s="3">
        <v>7784.5710289374</v>
      </c>
      <c r="R20" s="3">
        <v>612.690927890322</v>
      </c>
      <c r="S20" s="3">
        <v>9905.12834608945</v>
      </c>
      <c r="T20" s="3">
        <v>0.0</v>
      </c>
      <c r="U20" s="3">
        <v>0.0497620537326804</v>
      </c>
      <c r="V20" s="3">
        <v>0.0</v>
      </c>
      <c r="W20" s="7">
        <v>2.21676142503467E-16</v>
      </c>
      <c r="X20" s="3">
        <v>4518.7457035821</v>
      </c>
      <c r="Y20" s="3">
        <v>0.0</v>
      </c>
      <c r="Z20" s="2">
        <v>0.0</v>
      </c>
      <c r="AA20" s="1">
        <v>39054.5447021559</v>
      </c>
      <c r="AB20" s="2" t="s">
        <v>29</v>
      </c>
      <c r="AC20" s="2">
        <v>1.0</v>
      </c>
      <c r="AD20" s="2" t="b">
        <v>1</v>
      </c>
      <c r="AE20" s="1">
        <v>51258.68</v>
      </c>
      <c r="AF20" s="6">
        <f t="shared" si="1"/>
        <v>0.3124895039</v>
      </c>
    </row>
    <row r="21">
      <c r="A21" s="4">
        <v>20.0</v>
      </c>
      <c r="B21" s="5">
        <v>44697.0</v>
      </c>
      <c r="C21" s="1">
        <v>38260.79</v>
      </c>
      <c r="D21" s="2">
        <v>-16163.5171072631</v>
      </c>
      <c r="E21" s="2">
        <v>0.0</v>
      </c>
      <c r="F21" s="2">
        <v>11702.7736922553</v>
      </c>
      <c r="G21" s="3">
        <v>0.0</v>
      </c>
      <c r="H21" s="3">
        <v>0.0</v>
      </c>
      <c r="I21" s="3">
        <v>0.0</v>
      </c>
      <c r="J21" s="3">
        <v>5981.27765074036</v>
      </c>
      <c r="K21" s="3">
        <v>2803.088305324</v>
      </c>
      <c r="L21" s="3">
        <v>0.0</v>
      </c>
      <c r="M21" s="3">
        <v>3361.15243471519</v>
      </c>
      <c r="N21" s="3">
        <v>349.902777962088</v>
      </c>
      <c r="O21" s="3">
        <v>659.004965542394</v>
      </c>
      <c r="P21" s="3">
        <v>3651.98608772927</v>
      </c>
      <c r="Q21" s="3">
        <v>7794.33779048616</v>
      </c>
      <c r="R21" s="3">
        <v>505.089758369254</v>
      </c>
      <c r="S21" s="3">
        <v>9760.34462339824</v>
      </c>
      <c r="T21" s="3">
        <v>0.0</v>
      </c>
      <c r="U21" s="3">
        <v>6604.71597985754</v>
      </c>
      <c r="V21" s="3">
        <v>0.0</v>
      </c>
      <c r="W21" s="7">
        <v>2.78939087248729E-21</v>
      </c>
      <c r="X21" s="3">
        <v>6380.03444153338</v>
      </c>
      <c r="Y21" s="3">
        <v>0.0</v>
      </c>
      <c r="Z21" s="2">
        <v>0.0</v>
      </c>
      <c r="AA21" s="1">
        <v>43390.19140065</v>
      </c>
      <c r="AB21" s="2" t="s">
        <v>29</v>
      </c>
      <c r="AC21" s="2">
        <v>1.0</v>
      </c>
      <c r="AD21" s="2" t="b">
        <v>1</v>
      </c>
      <c r="AE21" s="1">
        <v>38260.79</v>
      </c>
      <c r="AF21" s="6">
        <f t="shared" si="1"/>
        <v>-0.1182156897</v>
      </c>
    </row>
    <row r="22">
      <c r="A22" s="4">
        <v>21.0</v>
      </c>
      <c r="B22" s="5">
        <v>44704.0</v>
      </c>
      <c r="C22" s="1">
        <v>31113.52</v>
      </c>
      <c r="D22" s="2">
        <v>-17700.7188507417</v>
      </c>
      <c r="E22" s="2">
        <v>0.0</v>
      </c>
      <c r="F22" s="2">
        <v>11687.9320560003</v>
      </c>
      <c r="G22" s="3">
        <v>0.0</v>
      </c>
      <c r="H22" s="3">
        <v>0.0</v>
      </c>
      <c r="I22" s="3">
        <v>0.0</v>
      </c>
      <c r="J22" s="3">
        <v>6679.10997882415</v>
      </c>
      <c r="K22" s="3">
        <v>2870.09949182636</v>
      </c>
      <c r="L22" s="3">
        <v>0.0</v>
      </c>
      <c r="M22" s="3">
        <v>2373.85641078848</v>
      </c>
      <c r="N22" s="3">
        <v>343.084686398778</v>
      </c>
      <c r="O22" s="3">
        <v>295.029323169543</v>
      </c>
      <c r="P22" s="3">
        <v>3502.4408741445</v>
      </c>
      <c r="Q22" s="3">
        <v>8275.26462054094</v>
      </c>
      <c r="R22" s="3">
        <v>401.759468954957</v>
      </c>
      <c r="S22" s="3">
        <v>9000.00656819991</v>
      </c>
      <c r="T22" s="3">
        <v>0.0</v>
      </c>
      <c r="U22" s="3">
        <v>8162.92748000492</v>
      </c>
      <c r="V22" s="3">
        <v>0.0</v>
      </c>
      <c r="W22" s="7">
        <v>7.2321297327315E-27</v>
      </c>
      <c r="X22" s="3">
        <v>3211.77418183049</v>
      </c>
      <c r="Y22" s="3">
        <v>0.0</v>
      </c>
      <c r="Z22" s="2">
        <v>0.0</v>
      </c>
      <c r="AA22" s="1">
        <v>39102.5662899415</v>
      </c>
      <c r="AB22" s="2" t="s">
        <v>29</v>
      </c>
      <c r="AC22" s="2">
        <v>1.0</v>
      </c>
      <c r="AD22" s="2" t="b">
        <v>1</v>
      </c>
      <c r="AE22" s="1">
        <v>31113.52</v>
      </c>
      <c r="AF22" s="6">
        <f t="shared" si="1"/>
        <v>-0.2043100248</v>
      </c>
    </row>
    <row r="23">
      <c r="A23" s="4">
        <v>22.0</v>
      </c>
      <c r="B23" s="5">
        <v>44711.0</v>
      </c>
      <c r="C23" s="1">
        <v>30682.07</v>
      </c>
      <c r="D23" s="2">
        <v>-18705.0401076862</v>
      </c>
      <c r="E23" s="2">
        <v>1520.82592249989</v>
      </c>
      <c r="F23" s="2">
        <v>11673.0904197452</v>
      </c>
      <c r="G23" s="3">
        <v>0.0</v>
      </c>
      <c r="H23" s="3">
        <v>0.0</v>
      </c>
      <c r="I23" s="3">
        <v>0.0</v>
      </c>
      <c r="J23" s="3">
        <v>7529.44217193702</v>
      </c>
      <c r="K23" s="3">
        <v>2896.36496939971</v>
      </c>
      <c r="L23" s="3">
        <v>0.0</v>
      </c>
      <c r="M23" s="3">
        <v>1509.30194309058</v>
      </c>
      <c r="N23" s="3">
        <v>131.178102293087</v>
      </c>
      <c r="O23" s="3">
        <v>161.029212065671</v>
      </c>
      <c r="P23" s="3">
        <v>3250.68634302641</v>
      </c>
      <c r="Q23" s="3">
        <v>9704.16247484717</v>
      </c>
      <c r="R23" s="3">
        <v>301.230627299684</v>
      </c>
      <c r="S23" s="3">
        <v>9975.94653445283</v>
      </c>
      <c r="T23" s="3">
        <v>1671.86963510448</v>
      </c>
      <c r="U23" s="3">
        <v>566.469955272413</v>
      </c>
      <c r="V23" s="3">
        <v>0.0</v>
      </c>
      <c r="W23" s="7">
        <v>3.55788241611967E-33</v>
      </c>
      <c r="X23" s="3">
        <v>3241.15032461444</v>
      </c>
      <c r="Y23" s="3">
        <v>0.0</v>
      </c>
      <c r="Z23" s="2">
        <v>0.0</v>
      </c>
      <c r="AA23" s="1">
        <v>35427.7085279624</v>
      </c>
      <c r="AB23" s="2" t="s">
        <v>29</v>
      </c>
      <c r="AC23" s="2">
        <v>1.0</v>
      </c>
      <c r="AD23" s="2" t="b">
        <v>1</v>
      </c>
      <c r="AE23" s="1">
        <v>30682.07</v>
      </c>
      <c r="AF23" s="6">
        <f t="shared" si="1"/>
        <v>-0.1339527371</v>
      </c>
    </row>
    <row r="24">
      <c r="A24" s="4">
        <v>23.0</v>
      </c>
      <c r="B24" s="5">
        <v>44718.0</v>
      </c>
      <c r="C24" s="1">
        <v>24650.71</v>
      </c>
      <c r="D24" s="2">
        <v>-18841.6036192767</v>
      </c>
      <c r="E24" s="2">
        <v>0.0</v>
      </c>
      <c r="F24" s="2">
        <v>11658.2487834902</v>
      </c>
      <c r="G24" s="3">
        <v>0.0</v>
      </c>
      <c r="H24" s="3">
        <v>0.0</v>
      </c>
      <c r="I24" s="3">
        <v>0.0</v>
      </c>
      <c r="J24" s="3">
        <v>8080.23550749179</v>
      </c>
      <c r="K24" s="3">
        <v>2461.12561694975</v>
      </c>
      <c r="L24" s="3">
        <v>0.0</v>
      </c>
      <c r="M24" s="3">
        <v>1019.13222348366</v>
      </c>
      <c r="N24" s="3">
        <v>146.000456912813</v>
      </c>
      <c r="O24" s="3">
        <v>103.507290452249</v>
      </c>
      <c r="P24" s="3">
        <v>3238.05304554554</v>
      </c>
      <c r="Q24" s="3">
        <v>7322.6810152745</v>
      </c>
      <c r="R24" s="3">
        <v>186.163922171612</v>
      </c>
      <c r="S24" s="3">
        <v>10242.9718361851</v>
      </c>
      <c r="T24" s="3">
        <v>3803.24784630747</v>
      </c>
      <c r="U24" s="3">
        <v>2219.09107082971</v>
      </c>
      <c r="V24" s="3">
        <v>0.0</v>
      </c>
      <c r="W24" s="7">
        <v>3.063577149982E-40</v>
      </c>
      <c r="X24" s="3">
        <v>1253.08207792959</v>
      </c>
      <c r="Y24" s="3">
        <v>0.0</v>
      </c>
      <c r="Z24" s="2">
        <v>0.0</v>
      </c>
      <c r="AA24" s="1">
        <v>32891.9370737473</v>
      </c>
      <c r="AB24" s="2" t="s">
        <v>29</v>
      </c>
      <c r="AC24" s="2">
        <v>1.0</v>
      </c>
      <c r="AD24" s="2" t="b">
        <v>1</v>
      </c>
      <c r="AE24" s="1">
        <v>24650.71</v>
      </c>
      <c r="AF24" s="6">
        <f t="shared" si="1"/>
        <v>-0.2505546285</v>
      </c>
    </row>
    <row r="25">
      <c r="A25" s="4">
        <v>24.0</v>
      </c>
      <c r="B25" s="5">
        <v>44725.0</v>
      </c>
      <c r="C25" s="1">
        <v>36885.67</v>
      </c>
      <c r="D25" s="2">
        <v>-17465.3322446019</v>
      </c>
      <c r="E25" s="2">
        <v>0.0</v>
      </c>
      <c r="F25" s="2">
        <v>11643.4071472351</v>
      </c>
      <c r="G25" s="3">
        <v>0.0</v>
      </c>
      <c r="H25" s="3">
        <v>0.0</v>
      </c>
      <c r="I25" s="3">
        <v>0.0</v>
      </c>
      <c r="J25" s="3">
        <v>8089.09347565428</v>
      </c>
      <c r="K25" s="3">
        <v>2855.64992040166</v>
      </c>
      <c r="L25" s="3">
        <v>0.0</v>
      </c>
      <c r="M25" s="3">
        <v>734.385794346874</v>
      </c>
      <c r="N25" s="3">
        <v>212.023723688133</v>
      </c>
      <c r="O25" s="3">
        <v>44.7321923111524</v>
      </c>
      <c r="P25" s="3">
        <v>3283.53236036868</v>
      </c>
      <c r="Q25" s="3">
        <v>5593.78058552192</v>
      </c>
      <c r="R25" s="3">
        <v>182.737522334841</v>
      </c>
      <c r="S25" s="3">
        <v>9990.02144891403</v>
      </c>
      <c r="T25" s="3">
        <v>5365.20522919123</v>
      </c>
      <c r="U25" s="3">
        <v>4321.98616069229</v>
      </c>
      <c r="V25" s="3">
        <v>0.0</v>
      </c>
      <c r="W25" s="7">
        <v>4.26584519804827E-48</v>
      </c>
      <c r="X25" s="3">
        <v>195.269932374422</v>
      </c>
      <c r="Y25" s="3">
        <v>0.0</v>
      </c>
      <c r="Z25" s="2">
        <v>0.0</v>
      </c>
      <c r="AA25" s="1">
        <v>35046.4932484328</v>
      </c>
      <c r="AB25" s="2" t="s">
        <v>29</v>
      </c>
      <c r="AC25" s="2">
        <v>1.0</v>
      </c>
      <c r="AD25" s="2" t="b">
        <v>1</v>
      </c>
      <c r="AE25" s="1">
        <v>36885.67</v>
      </c>
      <c r="AF25" s="6">
        <f t="shared" si="1"/>
        <v>0.05247819628</v>
      </c>
    </row>
    <row r="26">
      <c r="A26" s="4">
        <v>25.0</v>
      </c>
      <c r="B26" s="5">
        <v>44732.0</v>
      </c>
      <c r="C26" s="1">
        <v>38532.49</v>
      </c>
      <c r="D26" s="2">
        <v>-14311.9587211611</v>
      </c>
      <c r="E26" s="2">
        <v>0.0</v>
      </c>
      <c r="F26" s="2">
        <v>11629.0260906258</v>
      </c>
      <c r="G26" s="3">
        <v>0.0</v>
      </c>
      <c r="H26" s="3">
        <v>0.0</v>
      </c>
      <c r="I26" s="3">
        <v>0.0</v>
      </c>
      <c r="J26" s="3">
        <v>7682.46133244084</v>
      </c>
      <c r="K26" s="3">
        <v>3699.31240386861</v>
      </c>
      <c r="L26" s="3">
        <v>0.0</v>
      </c>
      <c r="M26" s="3">
        <v>480.524686422295</v>
      </c>
      <c r="N26" s="3">
        <v>1471.52259850976</v>
      </c>
      <c r="O26" s="3">
        <v>74.1917567159498</v>
      </c>
      <c r="P26" s="3">
        <v>3714.63681183681</v>
      </c>
      <c r="Q26" s="3">
        <v>14436.2244226527</v>
      </c>
      <c r="R26" s="3">
        <v>146.110980789406</v>
      </c>
      <c r="S26" s="3">
        <v>10350.7248129164</v>
      </c>
      <c r="T26" s="3">
        <v>6198.82991770294</v>
      </c>
      <c r="U26" s="3">
        <v>2675.19920993764</v>
      </c>
      <c r="V26" s="3">
        <v>0.0</v>
      </c>
      <c r="W26" s="7">
        <v>8.88752639512591E-57</v>
      </c>
      <c r="X26" s="3">
        <v>13.6738140577204</v>
      </c>
      <c r="Y26" s="3">
        <v>0.0</v>
      </c>
      <c r="Z26" s="2">
        <v>0.0</v>
      </c>
      <c r="AA26" s="1">
        <v>48260.4801173157</v>
      </c>
      <c r="AB26" s="2" t="s">
        <v>29</v>
      </c>
      <c r="AC26" s="2">
        <v>1.0</v>
      </c>
      <c r="AD26" s="2" t="b">
        <v>1</v>
      </c>
      <c r="AE26" s="1">
        <v>38532.49</v>
      </c>
      <c r="AF26" s="6">
        <f t="shared" si="1"/>
        <v>-0.201572593</v>
      </c>
    </row>
    <row r="27">
      <c r="A27" s="4">
        <v>26.0</v>
      </c>
      <c r="B27" s="5">
        <v>44739.0</v>
      </c>
      <c r="C27" s="1">
        <v>45480.26</v>
      </c>
      <c r="D27" s="2">
        <v>-9953.30322380584</v>
      </c>
      <c r="E27" s="2">
        <v>0.0</v>
      </c>
      <c r="F27" s="2">
        <v>11614.6450340164</v>
      </c>
      <c r="G27" s="3">
        <v>0.0</v>
      </c>
      <c r="H27" s="3">
        <v>0.0</v>
      </c>
      <c r="I27" s="3">
        <v>0.0</v>
      </c>
      <c r="J27" s="3">
        <v>7218.88369164754</v>
      </c>
      <c r="K27" s="3">
        <v>3091.80731784639</v>
      </c>
      <c r="L27" s="3">
        <v>0.0</v>
      </c>
      <c r="M27" s="3">
        <v>273.49866266629</v>
      </c>
      <c r="N27" s="3">
        <v>839.995232203849</v>
      </c>
      <c r="O27" s="3">
        <v>120.16264040296</v>
      </c>
      <c r="P27" s="3">
        <v>3412.26453674588</v>
      </c>
      <c r="Q27" s="3">
        <v>10781.0868459327</v>
      </c>
      <c r="R27" s="3">
        <v>147.511052118351</v>
      </c>
      <c r="S27" s="3">
        <v>10543.2750784021</v>
      </c>
      <c r="T27" s="3">
        <v>6365.62943404298</v>
      </c>
      <c r="U27" s="3">
        <v>4903.45052610071</v>
      </c>
      <c r="V27" s="3">
        <v>0.0</v>
      </c>
      <c r="W27" s="7">
        <v>2.56687831121847E-66</v>
      </c>
      <c r="X27" s="3">
        <v>0.486202257688383</v>
      </c>
      <c r="Y27" s="3">
        <v>0.0</v>
      </c>
      <c r="Z27" s="2">
        <v>0.0</v>
      </c>
      <c r="AA27" s="1">
        <v>49359.393030578</v>
      </c>
      <c r="AB27" s="2" t="s">
        <v>29</v>
      </c>
      <c r="AC27" s="2">
        <v>1.0</v>
      </c>
      <c r="AD27" s="2" t="b">
        <v>1</v>
      </c>
      <c r="AE27" s="1">
        <v>45480.26</v>
      </c>
      <c r="AF27" s="6">
        <f t="shared" si="1"/>
        <v>-0.07858956102</v>
      </c>
    </row>
    <row r="28">
      <c r="A28" s="4">
        <v>27.0</v>
      </c>
      <c r="B28" s="5">
        <v>44746.0</v>
      </c>
      <c r="C28" s="1">
        <v>46726.58</v>
      </c>
      <c r="D28" s="2">
        <v>-5078.9391358921</v>
      </c>
      <c r="E28" s="2">
        <v>0.0</v>
      </c>
      <c r="F28" s="2">
        <v>11600.263977407</v>
      </c>
      <c r="G28" s="3">
        <v>0.0</v>
      </c>
      <c r="H28" s="3">
        <v>0.0</v>
      </c>
      <c r="I28" s="3">
        <v>0.0</v>
      </c>
      <c r="J28" s="3">
        <v>7182.80378158808</v>
      </c>
      <c r="K28" s="3">
        <v>2721.70325942578</v>
      </c>
      <c r="L28" s="3">
        <v>0.0</v>
      </c>
      <c r="M28" s="3">
        <v>129.689127590878</v>
      </c>
      <c r="N28" s="3">
        <v>565.626211625114</v>
      </c>
      <c r="O28" s="3">
        <v>90.8881166086967</v>
      </c>
      <c r="P28" s="3">
        <v>3297.4774846607</v>
      </c>
      <c r="Q28" s="3">
        <v>6296.50731660634</v>
      </c>
      <c r="R28" s="3">
        <v>181.068210954472</v>
      </c>
      <c r="S28" s="3">
        <v>10716.5448336947</v>
      </c>
      <c r="T28" s="3">
        <v>5855.21719567643</v>
      </c>
      <c r="U28" s="3">
        <v>2508.16368424011</v>
      </c>
      <c r="V28" s="3">
        <v>0.0</v>
      </c>
      <c r="W28" s="7">
        <v>9.53401788161992E-77</v>
      </c>
      <c r="X28" s="3">
        <v>0.00930309596806751</v>
      </c>
      <c r="Y28" s="3">
        <v>0.0</v>
      </c>
      <c r="Z28" s="2">
        <v>0.0</v>
      </c>
      <c r="AA28" s="1">
        <v>46067.0233672821</v>
      </c>
      <c r="AB28" s="2" t="s">
        <v>29</v>
      </c>
      <c r="AC28" s="2">
        <v>1.0</v>
      </c>
      <c r="AD28" s="2" t="b">
        <v>1</v>
      </c>
      <c r="AE28" s="1">
        <v>46726.58</v>
      </c>
      <c r="AF28" s="6">
        <f t="shared" si="1"/>
        <v>0.0143173269</v>
      </c>
    </row>
    <row r="29">
      <c r="A29" s="4">
        <v>28.0</v>
      </c>
      <c r="B29" s="5">
        <v>44753.0</v>
      </c>
      <c r="C29" s="1">
        <v>54130.17</v>
      </c>
      <c r="D29" s="2">
        <v>411.19461619717</v>
      </c>
      <c r="E29" s="2">
        <v>0.0</v>
      </c>
      <c r="F29" s="2">
        <v>11585.8829207976</v>
      </c>
      <c r="G29" s="3">
        <v>0.0</v>
      </c>
      <c r="H29" s="3">
        <v>0.0</v>
      </c>
      <c r="I29" s="3">
        <v>0.0</v>
      </c>
      <c r="J29" s="3">
        <v>7180.27705493196</v>
      </c>
      <c r="K29" s="3">
        <v>2746.33806028998</v>
      </c>
      <c r="L29" s="3">
        <v>0.0</v>
      </c>
      <c r="M29" s="3">
        <v>41.046056743044</v>
      </c>
      <c r="N29" s="3">
        <v>911.471118724541</v>
      </c>
      <c r="O29" s="3">
        <v>69.5411072578716</v>
      </c>
      <c r="P29" s="3">
        <v>3211.43937735603</v>
      </c>
      <c r="Q29" s="3">
        <v>7941.3824637306</v>
      </c>
      <c r="R29" s="3">
        <v>190.288995332963</v>
      </c>
      <c r="S29" s="3">
        <v>11045.3878259405</v>
      </c>
      <c r="T29" s="3">
        <v>4595.0744646248</v>
      </c>
      <c r="U29" s="3">
        <v>6952.64485924242</v>
      </c>
      <c r="V29" s="3">
        <v>0.0</v>
      </c>
      <c r="W29" s="7">
        <v>4.22964484695464E-88</v>
      </c>
      <c r="X29" s="7">
        <v>9.93725530140063E-5</v>
      </c>
      <c r="Y29" s="3">
        <v>0.0</v>
      </c>
      <c r="Z29" s="2">
        <v>0.0</v>
      </c>
      <c r="AA29" s="1">
        <v>56881.969020542</v>
      </c>
      <c r="AB29" s="2" t="s">
        <v>29</v>
      </c>
      <c r="AC29" s="2">
        <v>1.0</v>
      </c>
      <c r="AD29" s="2" t="b">
        <v>1</v>
      </c>
      <c r="AE29" s="1">
        <v>54130.17</v>
      </c>
      <c r="AF29" s="6">
        <f t="shared" si="1"/>
        <v>-0.0483773517</v>
      </c>
    </row>
    <row r="30">
      <c r="A30" s="4">
        <v>29.0</v>
      </c>
      <c r="B30" s="5">
        <v>44760.0</v>
      </c>
      <c r="C30" s="1">
        <v>103301.78</v>
      </c>
      <c r="D30" s="2">
        <v>6844.18270292888</v>
      </c>
      <c r="E30" s="2">
        <v>0.0</v>
      </c>
      <c r="F30" s="2">
        <v>11571.5018641882</v>
      </c>
      <c r="G30" s="3">
        <v>0.0</v>
      </c>
      <c r="H30" s="3">
        <v>0.0</v>
      </c>
      <c r="I30" s="3">
        <v>0.0</v>
      </c>
      <c r="J30" s="3">
        <v>6995.85597252953</v>
      </c>
      <c r="K30" s="3">
        <v>2718.05594833884</v>
      </c>
      <c r="L30" s="3">
        <v>0.0</v>
      </c>
      <c r="M30" s="3">
        <v>6.49057664240103</v>
      </c>
      <c r="N30" s="3">
        <v>909.497782341474</v>
      </c>
      <c r="O30" s="3">
        <v>104.769909748027</v>
      </c>
      <c r="P30" s="3">
        <v>3445.7549721989</v>
      </c>
      <c r="Q30" s="3">
        <v>8550.31694086638</v>
      </c>
      <c r="R30" s="3">
        <v>267.92068360847</v>
      </c>
      <c r="S30" s="3">
        <v>11572.5087238125</v>
      </c>
      <c r="T30" s="3">
        <v>2755.22241533478</v>
      </c>
      <c r="U30" s="3">
        <v>7144.60321575596</v>
      </c>
      <c r="V30" s="3">
        <v>0.0</v>
      </c>
      <c r="W30" s="7">
        <v>2.08392204802289E-100</v>
      </c>
      <c r="X30" s="7">
        <v>6.09936395162383E-7</v>
      </c>
      <c r="Y30" s="3">
        <v>0.0</v>
      </c>
      <c r="Z30" s="2">
        <v>0.0</v>
      </c>
      <c r="AA30" s="1">
        <v>62886.6817089043</v>
      </c>
      <c r="AB30" s="2" t="s">
        <v>29</v>
      </c>
      <c r="AC30" s="2">
        <v>1.0</v>
      </c>
      <c r="AD30" s="2" t="b">
        <v>1</v>
      </c>
      <c r="AE30" s="1">
        <v>103301.78</v>
      </c>
      <c r="AF30" s="6">
        <f t="shared" si="1"/>
        <v>0.642665461</v>
      </c>
    </row>
    <row r="31">
      <c r="A31" s="4">
        <v>30.0</v>
      </c>
      <c r="B31" s="5">
        <v>44767.0</v>
      </c>
      <c r="C31" s="1">
        <v>90374.09</v>
      </c>
      <c r="D31" s="2">
        <v>13122.8760677791</v>
      </c>
      <c r="E31" s="2">
        <v>0.0</v>
      </c>
      <c r="F31" s="2">
        <v>11558.4512948591</v>
      </c>
      <c r="G31" s="3">
        <v>0.0</v>
      </c>
      <c r="H31" s="3">
        <v>0.0</v>
      </c>
      <c r="I31" s="3">
        <v>0.0</v>
      </c>
      <c r="J31" s="3">
        <v>6570.74924664455</v>
      </c>
      <c r="K31" s="3">
        <v>2720.00594731132</v>
      </c>
      <c r="L31" s="3">
        <v>0.0</v>
      </c>
      <c r="M31" s="3">
        <v>0.407049966099973</v>
      </c>
      <c r="N31" s="3">
        <v>356.092367072079</v>
      </c>
      <c r="O31" s="3">
        <v>262.815625384632</v>
      </c>
      <c r="P31" s="3">
        <v>3494.10304374915</v>
      </c>
      <c r="Q31" s="3">
        <v>10777.0203115099</v>
      </c>
      <c r="R31" s="3">
        <v>338.526720641072</v>
      </c>
      <c r="S31" s="3">
        <v>11850.4305017307</v>
      </c>
      <c r="T31" s="3">
        <v>1096.88473452112</v>
      </c>
      <c r="U31" s="3">
        <v>10286.9152777457</v>
      </c>
      <c r="V31" s="3">
        <v>0.0</v>
      </c>
      <c r="W31" s="7">
        <v>1.06133834445718E-113</v>
      </c>
      <c r="X31" s="7">
        <v>2.20290453480892E-9</v>
      </c>
      <c r="Y31" s="3">
        <v>0.0</v>
      </c>
      <c r="Z31" s="2">
        <v>0.0</v>
      </c>
      <c r="AA31" s="1">
        <v>72435.2781889167</v>
      </c>
      <c r="AB31" s="2" t="s">
        <v>29</v>
      </c>
      <c r="AC31" s="2">
        <v>1.0</v>
      </c>
      <c r="AD31" s="2" t="b">
        <v>1</v>
      </c>
      <c r="AE31" s="1">
        <v>90374.09</v>
      </c>
      <c r="AF31" s="6">
        <f t="shared" si="1"/>
        <v>0.2476529705</v>
      </c>
    </row>
    <row r="32">
      <c r="A32" s="4">
        <v>31.0</v>
      </c>
      <c r="B32" s="5">
        <v>44774.0</v>
      </c>
      <c r="C32" s="1">
        <v>77203.24</v>
      </c>
      <c r="D32" s="2">
        <v>16422.5783618019</v>
      </c>
      <c r="E32" s="2">
        <v>0.0</v>
      </c>
      <c r="F32" s="2">
        <v>11545.40072553</v>
      </c>
      <c r="G32" s="3">
        <v>0.0</v>
      </c>
      <c r="H32" s="3">
        <v>0.0</v>
      </c>
      <c r="I32" s="3">
        <v>0.0</v>
      </c>
      <c r="J32" s="3">
        <v>6115.69674466191</v>
      </c>
      <c r="K32" s="3">
        <v>3090.59541734002</v>
      </c>
      <c r="L32" s="3">
        <v>0.0</v>
      </c>
      <c r="M32" s="3">
        <v>0.0627272691244007</v>
      </c>
      <c r="N32" s="3">
        <v>171.718566050496</v>
      </c>
      <c r="O32" s="3">
        <v>429.447544517394</v>
      </c>
      <c r="P32" s="3">
        <v>3412.27550066393</v>
      </c>
      <c r="Q32" s="3">
        <v>11774.0923554015</v>
      </c>
      <c r="R32" s="3">
        <v>393.893693705261</v>
      </c>
      <c r="S32" s="3">
        <v>11927.2156106751</v>
      </c>
      <c r="T32" s="3">
        <v>265.005082506072</v>
      </c>
      <c r="U32" s="3">
        <v>2325.96224220389</v>
      </c>
      <c r="V32" s="3">
        <v>0.0</v>
      </c>
      <c r="W32" s="3">
        <v>0.0</v>
      </c>
      <c r="X32" s="7">
        <v>4.77569029289091E-12</v>
      </c>
      <c r="Y32" s="3">
        <v>0.0</v>
      </c>
      <c r="Z32" s="2">
        <v>0.0</v>
      </c>
      <c r="AA32" s="1">
        <v>67873.9445723267</v>
      </c>
      <c r="AB32" s="2" t="s">
        <v>29</v>
      </c>
      <c r="AC32" s="2">
        <v>1.0</v>
      </c>
      <c r="AD32" s="2" t="b">
        <v>1</v>
      </c>
      <c r="AE32" s="1">
        <v>77203.24</v>
      </c>
      <c r="AF32" s="6">
        <f t="shared" si="1"/>
        <v>0.1374503204</v>
      </c>
    </row>
    <row r="33">
      <c r="A33" s="4">
        <v>32.0</v>
      </c>
      <c r="B33" s="5">
        <v>44781.0</v>
      </c>
      <c r="C33" s="1">
        <v>67982.9</v>
      </c>
      <c r="D33" s="2">
        <v>14425.1300824663</v>
      </c>
      <c r="E33" s="2">
        <v>0.0</v>
      </c>
      <c r="F33" s="2">
        <v>11532.3501562009</v>
      </c>
      <c r="G33" s="3">
        <v>0.0</v>
      </c>
      <c r="H33" s="3">
        <v>0.0</v>
      </c>
      <c r="I33" s="3">
        <v>0.0</v>
      </c>
      <c r="J33" s="3">
        <v>6008.01472622746</v>
      </c>
      <c r="K33" s="3">
        <v>3314.98334235909</v>
      </c>
      <c r="L33" s="3">
        <v>0.0</v>
      </c>
      <c r="M33" s="3">
        <v>1.60334530699228</v>
      </c>
      <c r="N33" s="3">
        <v>342.760881496905</v>
      </c>
      <c r="O33" s="3">
        <v>565.537225774921</v>
      </c>
      <c r="P33" s="3">
        <v>3734.57768888973</v>
      </c>
      <c r="Q33" s="3">
        <v>9749.97885665556</v>
      </c>
      <c r="R33" s="3">
        <v>427.513610147661</v>
      </c>
      <c r="S33" s="3">
        <v>11956.291615787</v>
      </c>
      <c r="T33" s="3">
        <v>37.4465098232858</v>
      </c>
      <c r="U33" s="3">
        <v>350.67989077228</v>
      </c>
      <c r="V33" s="3">
        <v>0.0</v>
      </c>
      <c r="W33" s="3">
        <v>0.0</v>
      </c>
      <c r="X33" s="3">
        <v>3457.55843477327</v>
      </c>
      <c r="Y33" s="3">
        <v>0.0</v>
      </c>
      <c r="Z33" s="2">
        <v>0.0</v>
      </c>
      <c r="AA33" s="1">
        <v>65904.4263666814</v>
      </c>
      <c r="AB33" s="2" t="s">
        <v>29</v>
      </c>
      <c r="AC33" s="2">
        <v>1.0</v>
      </c>
      <c r="AD33" s="2" t="b">
        <v>1</v>
      </c>
      <c r="AE33" s="1">
        <v>67982.9</v>
      </c>
      <c r="AF33" s="6">
        <f t="shared" si="1"/>
        <v>0.03153769402</v>
      </c>
    </row>
    <row r="34">
      <c r="A34" s="4">
        <v>33.0</v>
      </c>
      <c r="B34" s="5">
        <v>44788.0</v>
      </c>
      <c r="C34" s="1">
        <v>54111.0</v>
      </c>
      <c r="D34" s="2">
        <v>7840.89038990954</v>
      </c>
      <c r="E34" s="2">
        <v>-6801.2143485767</v>
      </c>
      <c r="F34" s="2">
        <v>11519.2995868718</v>
      </c>
      <c r="G34" s="3">
        <v>0.0</v>
      </c>
      <c r="H34" s="3">
        <v>0.0</v>
      </c>
      <c r="I34" s="3">
        <v>0.0</v>
      </c>
      <c r="J34" s="3">
        <v>6287.01110612197</v>
      </c>
      <c r="K34" s="3">
        <v>3615.93960015123</v>
      </c>
      <c r="L34" s="3">
        <v>0.0</v>
      </c>
      <c r="M34" s="3">
        <v>22.0644783074803</v>
      </c>
      <c r="N34" s="3">
        <v>100.728551451883</v>
      </c>
      <c r="O34" s="3">
        <v>429.09510855309</v>
      </c>
      <c r="P34" s="3">
        <v>3568.20122489521</v>
      </c>
      <c r="Q34" s="3">
        <v>8265.14171983338</v>
      </c>
      <c r="R34" s="3">
        <v>507.469767135064</v>
      </c>
      <c r="S34" s="3">
        <v>12019.8729670349</v>
      </c>
      <c r="T34" s="3">
        <v>2.93681538799958</v>
      </c>
      <c r="U34" s="3">
        <v>4644.75487578859</v>
      </c>
      <c r="V34" s="3">
        <v>0.0</v>
      </c>
      <c r="W34" s="3">
        <v>0.0</v>
      </c>
      <c r="X34" s="3">
        <v>2462.6760572002</v>
      </c>
      <c r="Y34" s="3">
        <v>0.0</v>
      </c>
      <c r="Z34" s="2">
        <v>0.0</v>
      </c>
      <c r="AA34" s="1">
        <v>54484.8679000657</v>
      </c>
      <c r="AB34" s="2" t="s">
        <v>29</v>
      </c>
      <c r="AC34" s="2">
        <v>1.0</v>
      </c>
      <c r="AD34" s="2" t="b">
        <v>1</v>
      </c>
      <c r="AE34" s="1">
        <v>54111.0</v>
      </c>
      <c r="AF34" s="6">
        <f t="shared" si="1"/>
        <v>-0.006861866688</v>
      </c>
    </row>
    <row r="35">
      <c r="A35" s="4">
        <v>34.0</v>
      </c>
      <c r="B35" s="5">
        <v>44795.0</v>
      </c>
      <c r="C35" s="1">
        <v>61951.37</v>
      </c>
      <c r="D35" s="2">
        <v>2.118550228585</v>
      </c>
      <c r="E35" s="2">
        <v>0.0</v>
      </c>
      <c r="F35" s="2">
        <v>11506.2490175427</v>
      </c>
      <c r="G35" s="3">
        <v>0.0</v>
      </c>
      <c r="H35" s="3">
        <v>0.0</v>
      </c>
      <c r="I35" s="3">
        <v>0.0</v>
      </c>
      <c r="J35" s="3">
        <v>6668.26643161993</v>
      </c>
      <c r="K35" s="3">
        <v>3814.85090018146</v>
      </c>
      <c r="L35" s="3">
        <v>0.0</v>
      </c>
      <c r="M35" s="3">
        <v>119.61282913773</v>
      </c>
      <c r="N35" s="3">
        <v>91.2471718797782</v>
      </c>
      <c r="O35" s="3">
        <v>650.384855559749</v>
      </c>
      <c r="P35" s="3">
        <v>3703.21384191511</v>
      </c>
      <c r="Q35" s="3">
        <v>9426.70367441273</v>
      </c>
      <c r="R35" s="3">
        <v>470.607804327621</v>
      </c>
      <c r="S35" s="3">
        <v>11987.2485326036</v>
      </c>
      <c r="T35" s="3">
        <v>0.117733827604137</v>
      </c>
      <c r="U35" s="3">
        <v>4284.95741881835</v>
      </c>
      <c r="V35" s="3">
        <v>0.0</v>
      </c>
      <c r="W35" s="3">
        <v>0.0</v>
      </c>
      <c r="X35" s="3">
        <v>548.776378075732</v>
      </c>
      <c r="Y35" s="3">
        <v>0.0</v>
      </c>
      <c r="Z35" s="2">
        <v>0.0</v>
      </c>
      <c r="AA35" s="1">
        <v>53274.3551401307</v>
      </c>
      <c r="AB35" s="2" t="s">
        <v>29</v>
      </c>
      <c r="AC35" s="2">
        <v>1.0</v>
      </c>
      <c r="AD35" s="2" t="b">
        <v>1</v>
      </c>
      <c r="AE35" s="1">
        <v>61951.37</v>
      </c>
      <c r="AF35" s="6">
        <f t="shared" si="1"/>
        <v>0.1628741415</v>
      </c>
    </row>
    <row r="36">
      <c r="A36" s="4">
        <v>35.0</v>
      </c>
      <c r="B36" s="5">
        <v>44802.0</v>
      </c>
      <c r="C36" s="1">
        <v>59294.78</v>
      </c>
      <c r="D36" s="2">
        <v>-6293.26123285856</v>
      </c>
      <c r="E36" s="2">
        <v>0.0</v>
      </c>
      <c r="F36" s="2">
        <v>11493.5665688746</v>
      </c>
      <c r="G36" s="3">
        <v>0.0</v>
      </c>
      <c r="H36" s="3">
        <v>0.0</v>
      </c>
      <c r="I36" s="3">
        <v>0.0</v>
      </c>
      <c r="J36" s="3">
        <v>6903.82281665034</v>
      </c>
      <c r="K36" s="3">
        <v>4988.65055133136</v>
      </c>
      <c r="L36" s="3">
        <v>0.0</v>
      </c>
      <c r="M36" s="3">
        <v>344.368152724436</v>
      </c>
      <c r="N36" s="3">
        <v>140.970409743033</v>
      </c>
      <c r="O36" s="3">
        <v>1056.51131019575</v>
      </c>
      <c r="P36" s="3">
        <v>3956.76266806948</v>
      </c>
      <c r="Q36" s="3">
        <v>10100.798112294</v>
      </c>
      <c r="R36" s="3">
        <v>492.683606260379</v>
      </c>
      <c r="S36" s="3">
        <v>11638.2386780395</v>
      </c>
      <c r="T36" s="3">
        <v>0.00219766884204641</v>
      </c>
      <c r="U36" s="3">
        <v>3249.05685730577</v>
      </c>
      <c r="V36" s="3">
        <v>0.0</v>
      </c>
      <c r="W36" s="3">
        <v>0.0</v>
      </c>
      <c r="X36" s="3">
        <v>1546.24557387421</v>
      </c>
      <c r="Y36" s="3">
        <v>0.0</v>
      </c>
      <c r="Z36" s="2">
        <v>0.0</v>
      </c>
      <c r="AA36" s="1">
        <v>49618.4162701731</v>
      </c>
      <c r="AB36" s="2" t="s">
        <v>29</v>
      </c>
      <c r="AC36" s="2">
        <v>1.0</v>
      </c>
      <c r="AD36" s="2" t="b">
        <v>1</v>
      </c>
      <c r="AE36" s="1">
        <v>59294.78</v>
      </c>
      <c r="AF36" s="6">
        <f t="shared" si="1"/>
        <v>0.19501557</v>
      </c>
    </row>
    <row r="37">
      <c r="A37" s="4">
        <v>36.0</v>
      </c>
      <c r="B37" s="5">
        <v>44809.0</v>
      </c>
      <c r="C37" s="1">
        <v>21091.83</v>
      </c>
      <c r="D37" s="2">
        <v>-10872.9843236135</v>
      </c>
      <c r="E37" s="2">
        <v>0.0</v>
      </c>
      <c r="F37" s="2">
        <v>11480.8841202064</v>
      </c>
      <c r="G37" s="3">
        <v>0.0</v>
      </c>
      <c r="H37" s="3">
        <v>0.0</v>
      </c>
      <c r="I37" s="3">
        <v>0.0</v>
      </c>
      <c r="J37" s="3">
        <v>6950.02676442255</v>
      </c>
      <c r="K37" s="3">
        <v>5245.84171154635</v>
      </c>
      <c r="L37" s="3">
        <v>0.0</v>
      </c>
      <c r="M37" s="3">
        <v>606.890284835127</v>
      </c>
      <c r="N37" s="3">
        <v>202.86359081179</v>
      </c>
      <c r="O37" s="3">
        <v>1419.32003003991</v>
      </c>
      <c r="P37" s="3">
        <v>3794.23744934135</v>
      </c>
      <c r="Q37" s="3">
        <v>8695.52774361378</v>
      </c>
      <c r="R37" s="3">
        <v>477.22175566721</v>
      </c>
      <c r="S37" s="3">
        <v>10912.5846747186</v>
      </c>
      <c r="T37" s="7">
        <v>1.73648906964245E-5</v>
      </c>
      <c r="U37" s="3">
        <v>0.0331228556310674</v>
      </c>
      <c r="V37" s="3">
        <v>0.0</v>
      </c>
      <c r="W37" s="3">
        <v>0.0</v>
      </c>
      <c r="X37" s="3">
        <v>734.406901893054</v>
      </c>
      <c r="Y37" s="3">
        <v>0.0</v>
      </c>
      <c r="Z37" s="2">
        <v>0.0</v>
      </c>
      <c r="AA37" s="1">
        <v>39646.8538437031</v>
      </c>
      <c r="AB37" s="2" t="s">
        <v>29</v>
      </c>
      <c r="AC37" s="2">
        <v>1.0</v>
      </c>
      <c r="AD37" s="2" t="b">
        <v>1</v>
      </c>
      <c r="AE37" s="1">
        <v>21091.83</v>
      </c>
      <c r="AF37" s="6">
        <f t="shared" si="1"/>
        <v>-0.4680074721</v>
      </c>
    </row>
    <row r="38">
      <c r="A38" s="4">
        <v>37.0</v>
      </c>
      <c r="B38" s="5">
        <v>44816.0</v>
      </c>
      <c r="C38" s="1">
        <v>25065.11</v>
      </c>
      <c r="D38" s="2">
        <v>-14642.9033166443</v>
      </c>
      <c r="E38" s="2">
        <v>0.0</v>
      </c>
      <c r="F38" s="2">
        <v>11468.2016715382</v>
      </c>
      <c r="G38" s="3">
        <v>0.0</v>
      </c>
      <c r="H38" s="3">
        <v>0.0</v>
      </c>
      <c r="I38" s="3">
        <v>0.0</v>
      </c>
      <c r="J38" s="3">
        <v>7024.6703789352</v>
      </c>
      <c r="K38" s="3">
        <v>5146.86712788438</v>
      </c>
      <c r="L38" s="3">
        <v>0.0</v>
      </c>
      <c r="M38" s="3">
        <v>710.966270380639</v>
      </c>
      <c r="N38" s="3">
        <v>236.166125478832</v>
      </c>
      <c r="O38" s="3">
        <v>1481.81054164013</v>
      </c>
      <c r="P38" s="3">
        <v>3535.69328823416</v>
      </c>
      <c r="Q38" s="3">
        <v>7006.1108439205</v>
      </c>
      <c r="R38" s="3">
        <v>537.085067338182</v>
      </c>
      <c r="S38" s="3">
        <v>10044.0757059032</v>
      </c>
      <c r="T38" s="7">
        <v>5.27133460667722E-8</v>
      </c>
      <c r="U38" s="3">
        <v>2246.99429132997</v>
      </c>
      <c r="V38" s="3">
        <v>0.0</v>
      </c>
      <c r="W38" s="3">
        <v>0.0</v>
      </c>
      <c r="X38" s="3">
        <v>128.622524801041</v>
      </c>
      <c r="Y38" s="3">
        <v>0.0</v>
      </c>
      <c r="Z38" s="2">
        <v>0.0</v>
      </c>
      <c r="AA38" s="1">
        <v>34924.3605207929</v>
      </c>
      <c r="AB38" s="2" t="s">
        <v>29</v>
      </c>
      <c r="AC38" s="2">
        <v>1.0</v>
      </c>
      <c r="AD38" s="2" t="b">
        <v>1</v>
      </c>
      <c r="AE38" s="1">
        <v>25065.11</v>
      </c>
      <c r="AF38" s="6">
        <f t="shared" si="1"/>
        <v>-0.2823029649</v>
      </c>
    </row>
    <row r="39">
      <c r="A39" s="4">
        <v>38.0</v>
      </c>
      <c r="B39" s="5">
        <v>44823.0</v>
      </c>
      <c r="C39" s="1">
        <v>35849.28</v>
      </c>
      <c r="D39" s="2">
        <v>-16832.3843837471</v>
      </c>
      <c r="E39" s="2">
        <v>0.0</v>
      </c>
      <c r="F39" s="2">
        <v>11455.51922287</v>
      </c>
      <c r="G39" s="3">
        <v>0.0</v>
      </c>
      <c r="H39" s="3">
        <v>0.0</v>
      </c>
      <c r="I39" s="3">
        <v>0.0</v>
      </c>
      <c r="J39" s="3">
        <v>7226.6277285536</v>
      </c>
      <c r="K39" s="3">
        <v>4323.5049001553</v>
      </c>
      <c r="L39" s="3">
        <v>0.0</v>
      </c>
      <c r="M39" s="3">
        <v>588.59055380474</v>
      </c>
      <c r="N39" s="3">
        <v>190.243804072527</v>
      </c>
      <c r="O39" s="3">
        <v>1644.10872023029</v>
      </c>
      <c r="P39" s="3">
        <v>3986.87949344202</v>
      </c>
      <c r="Q39" s="3">
        <v>10156.3726698121</v>
      </c>
      <c r="R39" s="3">
        <v>614.313079182847</v>
      </c>
      <c r="S39" s="3">
        <v>9310.69296000019</v>
      </c>
      <c r="T39" s="7">
        <v>5.56513295227245E-11</v>
      </c>
      <c r="U39" s="3">
        <v>415.194632670809</v>
      </c>
      <c r="V39" s="3">
        <v>0.0</v>
      </c>
      <c r="W39" s="3">
        <v>0.0</v>
      </c>
      <c r="X39" s="3">
        <v>1212.89510740207</v>
      </c>
      <c r="Y39" s="3">
        <v>0.0</v>
      </c>
      <c r="Z39" s="2">
        <v>0.0</v>
      </c>
      <c r="AA39" s="1">
        <v>34292.5584884495</v>
      </c>
      <c r="AB39" s="2" t="s">
        <v>29</v>
      </c>
      <c r="AC39" s="2">
        <v>1.0</v>
      </c>
      <c r="AD39" s="2" t="b">
        <v>1</v>
      </c>
      <c r="AE39" s="1">
        <v>35849.28</v>
      </c>
      <c r="AF39" s="6">
        <f t="shared" si="1"/>
        <v>0.04539531549</v>
      </c>
    </row>
    <row r="40">
      <c r="A40" s="4">
        <v>39.0</v>
      </c>
      <c r="B40" s="5">
        <v>44830.0</v>
      </c>
      <c r="C40" s="1">
        <v>63190.78</v>
      </c>
      <c r="D40" s="2">
        <v>-15523.3802741063</v>
      </c>
      <c r="E40" s="2">
        <v>0.0</v>
      </c>
      <c r="F40" s="2">
        <v>11442.8367742018</v>
      </c>
      <c r="G40" s="3">
        <v>0.0</v>
      </c>
      <c r="H40" s="3">
        <v>0.0</v>
      </c>
      <c r="I40" s="3">
        <v>0.0</v>
      </c>
      <c r="J40" s="3">
        <v>7600.96113822607</v>
      </c>
      <c r="K40" s="3">
        <v>84.0887467649742</v>
      </c>
      <c r="L40" s="3">
        <v>0.0</v>
      </c>
      <c r="M40" s="3">
        <v>412.291749887475</v>
      </c>
      <c r="N40" s="3">
        <v>340.408744747325</v>
      </c>
      <c r="O40" s="3">
        <v>1755.83759198453</v>
      </c>
      <c r="P40" s="3">
        <v>4219.57729803134</v>
      </c>
      <c r="Q40" s="3">
        <v>9544.68299516173</v>
      </c>
      <c r="R40" s="3">
        <v>677.445783083851</v>
      </c>
      <c r="S40" s="3">
        <v>8550.90206836007</v>
      </c>
      <c r="T40" s="7">
        <v>1.84418268063871E-14</v>
      </c>
      <c r="U40" s="3">
        <v>4998.55039053161</v>
      </c>
      <c r="V40" s="3">
        <v>0.0</v>
      </c>
      <c r="W40" s="3">
        <v>5689.72930626396</v>
      </c>
      <c r="X40" s="3">
        <v>658.545085508456</v>
      </c>
      <c r="Y40" s="3">
        <v>0.0</v>
      </c>
      <c r="Z40" s="2">
        <v>0.0</v>
      </c>
      <c r="AA40" s="1">
        <v>40452.477398647</v>
      </c>
      <c r="AB40" s="2" t="s">
        <v>29</v>
      </c>
      <c r="AC40" s="2">
        <v>1.0</v>
      </c>
      <c r="AD40" s="2" t="b">
        <v>1</v>
      </c>
      <c r="AE40" s="1">
        <v>63190.78</v>
      </c>
      <c r="AF40" s="6">
        <f t="shared" si="1"/>
        <v>0.5620991362</v>
      </c>
    </row>
    <row r="41">
      <c r="A41" s="4">
        <v>40.0</v>
      </c>
      <c r="B41" s="5">
        <v>44837.0</v>
      </c>
      <c r="C41" s="1">
        <v>10828.96</v>
      </c>
      <c r="D41" s="2">
        <v>-11510.1636824413</v>
      </c>
      <c r="E41" s="2">
        <v>0.0</v>
      </c>
      <c r="F41" s="2">
        <v>11431.3290096338</v>
      </c>
      <c r="G41" s="3">
        <v>0.0</v>
      </c>
      <c r="H41" s="3">
        <v>0.0</v>
      </c>
      <c r="I41" s="3">
        <v>0.0</v>
      </c>
      <c r="J41" s="3">
        <v>7899.41554450775</v>
      </c>
      <c r="K41" s="3">
        <v>23.9887525784829</v>
      </c>
      <c r="L41" s="3">
        <v>0.0</v>
      </c>
      <c r="M41" s="3">
        <v>394.939798245909</v>
      </c>
      <c r="N41" s="3">
        <v>253.593169447092</v>
      </c>
      <c r="O41" s="3">
        <v>1603.5108265053</v>
      </c>
      <c r="P41" s="3">
        <v>3876.08599621691</v>
      </c>
      <c r="Q41" s="3">
        <v>8053.61240972712</v>
      </c>
      <c r="R41" s="3">
        <v>614.167874215122</v>
      </c>
      <c r="S41" s="3">
        <v>7612.95590934024</v>
      </c>
      <c r="T41" s="7">
        <v>1.72602747455584E-18</v>
      </c>
      <c r="U41" s="3">
        <v>412.817009858162</v>
      </c>
      <c r="V41" s="3">
        <v>0.0</v>
      </c>
      <c r="W41" s="3">
        <v>6778.70150829714</v>
      </c>
      <c r="X41" s="3">
        <v>120.444874712514</v>
      </c>
      <c r="Y41" s="3">
        <v>0.0</v>
      </c>
      <c r="Z41" s="2">
        <v>0.0</v>
      </c>
      <c r="AA41" s="1">
        <v>37565.3990008442</v>
      </c>
      <c r="AB41" s="2" t="s">
        <v>29</v>
      </c>
      <c r="AC41" s="2">
        <v>1.0</v>
      </c>
      <c r="AD41" s="2" t="b">
        <v>1</v>
      </c>
      <c r="AE41" s="1">
        <v>10828.96</v>
      </c>
      <c r="AF41" s="6">
        <f t="shared" si="1"/>
        <v>-0.7117304677</v>
      </c>
    </row>
    <row r="42">
      <c r="A42" s="4">
        <v>41.0</v>
      </c>
      <c r="B42" s="5">
        <v>44844.0</v>
      </c>
      <c r="C42" s="1">
        <v>35579.2</v>
      </c>
      <c r="D42" s="2">
        <v>-9887.17749568561</v>
      </c>
      <c r="E42" s="2">
        <v>0.0</v>
      </c>
      <c r="F42" s="2">
        <v>11419.8212450657</v>
      </c>
      <c r="G42" s="3">
        <v>0.0</v>
      </c>
      <c r="H42" s="3">
        <v>0.0</v>
      </c>
      <c r="I42" s="3">
        <v>0.0</v>
      </c>
      <c r="J42" s="3">
        <v>8891.87481054741</v>
      </c>
      <c r="K42" s="3">
        <v>57.9618888840684</v>
      </c>
      <c r="L42" s="3">
        <v>0.0</v>
      </c>
      <c r="M42" s="3">
        <v>701.278224783141</v>
      </c>
      <c r="N42" s="3">
        <v>274.812152276744</v>
      </c>
      <c r="O42" s="3">
        <v>1317.40283052124</v>
      </c>
      <c r="P42" s="3">
        <v>3842.45890388839</v>
      </c>
      <c r="Q42" s="3">
        <v>7641.25652707759</v>
      </c>
      <c r="R42" s="3">
        <v>525.671381270934</v>
      </c>
      <c r="S42" s="3">
        <v>6620.92287343584</v>
      </c>
      <c r="T42" s="7">
        <v>4.09312118685919E-23</v>
      </c>
      <c r="U42" s="3">
        <v>396.05906914382</v>
      </c>
      <c r="V42" s="3">
        <v>0.0</v>
      </c>
      <c r="W42" s="3">
        <v>7207.49433611273</v>
      </c>
      <c r="X42" s="3">
        <v>9.26588373070593</v>
      </c>
      <c r="Y42" s="3">
        <v>0.0</v>
      </c>
      <c r="Z42" s="2">
        <v>0.0</v>
      </c>
      <c r="AA42" s="1">
        <v>39019.1026310527</v>
      </c>
      <c r="AB42" s="2" t="s">
        <v>29</v>
      </c>
      <c r="AC42" s="2">
        <v>1.0</v>
      </c>
      <c r="AD42" s="2" t="b">
        <v>1</v>
      </c>
      <c r="AE42" s="1">
        <v>35579.2</v>
      </c>
      <c r="AF42" s="6">
        <f t="shared" si="1"/>
        <v>-0.08815945009</v>
      </c>
    </row>
    <row r="43">
      <c r="A43" s="4">
        <v>42.0</v>
      </c>
      <c r="B43" s="5">
        <v>44851.0</v>
      </c>
      <c r="C43" s="1">
        <v>35010.05</v>
      </c>
      <c r="D43" s="2">
        <v>-15135.9047016813</v>
      </c>
      <c r="E43" s="2">
        <v>0.0</v>
      </c>
      <c r="F43" s="2">
        <v>11408.3134804976</v>
      </c>
      <c r="G43" s="3">
        <v>0.0</v>
      </c>
      <c r="H43" s="3">
        <v>0.0</v>
      </c>
      <c r="I43" s="3">
        <v>0.0</v>
      </c>
      <c r="J43" s="3">
        <v>9748.58182901495</v>
      </c>
      <c r="K43" s="3">
        <v>76.164994392693</v>
      </c>
      <c r="L43" s="3">
        <v>0.0</v>
      </c>
      <c r="M43" s="3">
        <v>1521.32218490966</v>
      </c>
      <c r="N43" s="3">
        <v>414.682299603746</v>
      </c>
      <c r="O43" s="3">
        <v>1024.87226257554</v>
      </c>
      <c r="P43" s="3">
        <v>3981.5507267627</v>
      </c>
      <c r="Q43" s="3">
        <v>8003.61682494855</v>
      </c>
      <c r="R43" s="3">
        <v>556.17490174112</v>
      </c>
      <c r="S43" s="3">
        <v>5710.49109982975</v>
      </c>
      <c r="T43" s="7">
        <v>2.19999208129062E-28</v>
      </c>
      <c r="U43" s="3">
        <v>197.66694900882</v>
      </c>
      <c r="V43" s="3">
        <v>0.0</v>
      </c>
      <c r="W43" s="3">
        <v>7592.82060715416</v>
      </c>
      <c r="X43" s="3">
        <v>917.879706634589</v>
      </c>
      <c r="Y43" s="3">
        <v>0.0</v>
      </c>
      <c r="Z43" s="2">
        <v>0.0</v>
      </c>
      <c r="AA43" s="1">
        <v>36018.2331653925</v>
      </c>
      <c r="AB43" s="2" t="s">
        <v>29</v>
      </c>
      <c r="AC43" s="2">
        <v>1.0</v>
      </c>
      <c r="AD43" s="2" t="b">
        <v>1</v>
      </c>
      <c r="AE43" s="1">
        <v>35010.05</v>
      </c>
      <c r="AF43" s="6">
        <f t="shared" si="1"/>
        <v>-0.02799091118</v>
      </c>
    </row>
    <row r="44">
      <c r="A44" s="4">
        <v>43.0</v>
      </c>
      <c r="B44" s="5">
        <v>44858.0</v>
      </c>
      <c r="C44" s="1">
        <v>31602.97</v>
      </c>
      <c r="D44" s="2">
        <v>-23860.2948690297</v>
      </c>
      <c r="E44" s="2">
        <v>0.0</v>
      </c>
      <c r="F44" s="2">
        <v>11396.8057159295</v>
      </c>
      <c r="G44" s="3">
        <v>0.0</v>
      </c>
      <c r="H44" s="3">
        <v>0.0</v>
      </c>
      <c r="I44" s="3">
        <v>0.0</v>
      </c>
      <c r="J44" s="3">
        <v>9965.9849650096</v>
      </c>
      <c r="K44" s="3">
        <v>47.409610655087</v>
      </c>
      <c r="L44" s="3">
        <v>0.0</v>
      </c>
      <c r="M44" s="3">
        <v>2624.45705188433</v>
      </c>
      <c r="N44" s="3">
        <v>870.10748147901</v>
      </c>
      <c r="O44" s="3">
        <v>708.823828925578</v>
      </c>
      <c r="P44" s="3">
        <v>3753.66672231756</v>
      </c>
      <c r="Q44" s="3">
        <v>7057.79434281048</v>
      </c>
      <c r="R44" s="3">
        <v>520.736166108134</v>
      </c>
      <c r="S44" s="3">
        <v>4918.7907929025</v>
      </c>
      <c r="T44" s="7">
        <v>2.39075051895643E-34</v>
      </c>
      <c r="U44" s="3">
        <v>8925.06047853316</v>
      </c>
      <c r="V44" s="3">
        <v>0.0</v>
      </c>
      <c r="W44" s="3">
        <v>7206.20719967002</v>
      </c>
      <c r="X44" s="3">
        <v>566.893393660339</v>
      </c>
      <c r="Y44" s="3">
        <v>0.0</v>
      </c>
      <c r="Z44" s="2">
        <v>0.0</v>
      </c>
      <c r="AA44" s="1">
        <v>34702.4428808556</v>
      </c>
      <c r="AB44" s="2" t="s">
        <v>29</v>
      </c>
      <c r="AC44" s="2">
        <v>1.0</v>
      </c>
      <c r="AD44" s="2" t="b">
        <v>1</v>
      </c>
      <c r="AE44" s="1">
        <v>31602.97</v>
      </c>
      <c r="AF44" s="6">
        <f t="shared" si="1"/>
        <v>-0.08931569721</v>
      </c>
    </row>
    <row r="45">
      <c r="A45" s="4">
        <v>44.0</v>
      </c>
      <c r="B45" s="5">
        <v>44865.0</v>
      </c>
      <c r="C45" s="1">
        <v>41997.89</v>
      </c>
      <c r="D45" s="2">
        <v>-24646.7832125742</v>
      </c>
      <c r="E45" s="2">
        <v>10287.8610064012</v>
      </c>
      <c r="F45" s="2">
        <v>11385.2979513614</v>
      </c>
      <c r="G45" s="3">
        <v>0.0</v>
      </c>
      <c r="H45" s="3">
        <v>0.0</v>
      </c>
      <c r="I45" s="3">
        <v>0.0</v>
      </c>
      <c r="J45" s="3">
        <v>9613.88355384176</v>
      </c>
      <c r="K45" s="3">
        <v>0.0113980244565674</v>
      </c>
      <c r="L45" s="3">
        <v>0.0</v>
      </c>
      <c r="M45" s="3">
        <v>3193.26924195068</v>
      </c>
      <c r="N45" s="3">
        <v>588.039007711772</v>
      </c>
      <c r="O45" s="3">
        <v>1064.54450673206</v>
      </c>
      <c r="P45" s="3">
        <v>4679.19109179359</v>
      </c>
      <c r="Q45" s="3">
        <v>10456.583492918</v>
      </c>
      <c r="R45" s="3">
        <v>755.282872151888</v>
      </c>
      <c r="S45" s="3">
        <v>4411.12795733803</v>
      </c>
      <c r="T45" s="7">
        <v>4.67315004603816E-41</v>
      </c>
      <c r="U45" s="3">
        <v>4040.78384694556</v>
      </c>
      <c r="V45" s="3">
        <v>0.0</v>
      </c>
      <c r="W45" s="3">
        <v>5381.72970154617</v>
      </c>
      <c r="X45" s="3">
        <v>1755.5529096507</v>
      </c>
      <c r="Y45" s="3">
        <v>0.0</v>
      </c>
      <c r="Z45" s="2">
        <v>0.0</v>
      </c>
      <c r="AA45" s="1">
        <v>42966.3753257931</v>
      </c>
      <c r="AB45" s="2" t="s">
        <v>29</v>
      </c>
      <c r="AC45" s="2">
        <v>1.0</v>
      </c>
      <c r="AD45" s="2" t="b">
        <v>1</v>
      </c>
      <c r="AE45" s="1">
        <v>41997.89</v>
      </c>
      <c r="AF45" s="6">
        <f t="shared" si="1"/>
        <v>-0.02254054056</v>
      </c>
    </row>
    <row r="46">
      <c r="A46" s="4">
        <v>45.0</v>
      </c>
      <c r="B46" s="5">
        <v>44872.0</v>
      </c>
      <c r="C46" s="1">
        <v>42795.77</v>
      </c>
      <c r="D46" s="2">
        <v>-8413.06429146717</v>
      </c>
      <c r="E46" s="2">
        <v>0.0</v>
      </c>
      <c r="F46" s="2">
        <v>11373.7901867933</v>
      </c>
      <c r="G46" s="3">
        <v>0.0</v>
      </c>
      <c r="H46" s="3">
        <v>0.0</v>
      </c>
      <c r="I46" s="3">
        <v>0.0</v>
      </c>
      <c r="J46" s="3">
        <v>8753.08968184915</v>
      </c>
      <c r="K46" s="7">
        <v>2.91391890137698E-11</v>
      </c>
      <c r="L46" s="3">
        <v>0.0</v>
      </c>
      <c r="M46" s="3">
        <v>2740.16488482503</v>
      </c>
      <c r="N46" s="3">
        <v>716.874672553466</v>
      </c>
      <c r="O46" s="3">
        <v>2425.8126985916</v>
      </c>
      <c r="P46" s="3">
        <v>5278.74543963237</v>
      </c>
      <c r="Q46" s="3">
        <v>12432.6475611256</v>
      </c>
      <c r="R46" s="3">
        <v>1080.36615382815</v>
      </c>
      <c r="S46" s="3">
        <v>4049.25046323918</v>
      </c>
      <c r="T46" s="7">
        <v>1.4578958192009E-48</v>
      </c>
      <c r="U46" s="3">
        <v>1963.93235617478</v>
      </c>
      <c r="V46" s="3">
        <v>0.0</v>
      </c>
      <c r="W46" s="3">
        <v>5711.55897992231</v>
      </c>
      <c r="X46" s="3">
        <v>793.650495491713</v>
      </c>
      <c r="Y46" s="3">
        <v>0.0</v>
      </c>
      <c r="Z46" s="2">
        <v>0.0</v>
      </c>
      <c r="AA46" s="1">
        <v>48906.8192825595</v>
      </c>
      <c r="AB46" s="2" t="s">
        <v>29</v>
      </c>
      <c r="AC46" s="2">
        <v>1.0</v>
      </c>
      <c r="AD46" s="2" t="b">
        <v>1</v>
      </c>
      <c r="AE46" s="1">
        <v>42795.77</v>
      </c>
      <c r="AF46" s="6">
        <f t="shared" si="1"/>
        <v>-0.1249529078</v>
      </c>
    </row>
    <row r="47">
      <c r="A47" s="4">
        <v>46.0</v>
      </c>
      <c r="B47" s="5">
        <v>44879.0</v>
      </c>
      <c r="C47" s="1">
        <v>116564.3</v>
      </c>
      <c r="D47" s="2">
        <v>19923.2438360522</v>
      </c>
      <c r="E47" s="2">
        <v>0.0</v>
      </c>
      <c r="F47" s="2">
        <v>11363.1541313868</v>
      </c>
      <c r="G47" s="3">
        <v>0.0</v>
      </c>
      <c r="H47" s="3">
        <v>0.0</v>
      </c>
      <c r="I47" s="3">
        <v>0.0</v>
      </c>
      <c r="J47" s="3">
        <v>7590.80625657016</v>
      </c>
      <c r="K47" s="3">
        <v>9628.55487063573</v>
      </c>
      <c r="L47" s="3">
        <v>0.0</v>
      </c>
      <c r="M47" s="3">
        <v>1633.40522469823</v>
      </c>
      <c r="N47" s="3">
        <v>2252.52989231553</v>
      </c>
      <c r="O47" s="3">
        <v>3039.06467534072</v>
      </c>
      <c r="P47" s="3">
        <v>5860.76123054275</v>
      </c>
      <c r="Q47" s="3">
        <v>15403.1613571379</v>
      </c>
      <c r="R47" s="3">
        <v>1291.41164469771</v>
      </c>
      <c r="S47" s="3">
        <v>3942.54096936215</v>
      </c>
      <c r="T47" s="7">
        <v>6.4247806307464E-57</v>
      </c>
      <c r="U47" s="3">
        <v>15434.9218048482</v>
      </c>
      <c r="V47" s="3">
        <v>0.0</v>
      </c>
      <c r="W47" s="3">
        <v>6072.82879300713</v>
      </c>
      <c r="X47" s="3">
        <v>131.635802318182</v>
      </c>
      <c r="Y47" s="3">
        <v>0.0</v>
      </c>
      <c r="Z47" s="2">
        <v>0.0</v>
      </c>
      <c r="AA47" s="1">
        <v>103568.020488913</v>
      </c>
      <c r="AB47" s="2" t="s">
        <v>29</v>
      </c>
      <c r="AC47" s="2">
        <v>1.0</v>
      </c>
      <c r="AD47" s="2" t="b">
        <v>1</v>
      </c>
      <c r="AE47" s="1">
        <v>116564.3</v>
      </c>
      <c r="AF47" s="6">
        <f t="shared" si="1"/>
        <v>0.1254854486</v>
      </c>
    </row>
    <row r="48">
      <c r="A48" s="4">
        <v>47.0</v>
      </c>
      <c r="B48" s="5">
        <v>44886.0</v>
      </c>
      <c r="C48" s="1">
        <v>214370.37</v>
      </c>
      <c r="D48" s="2">
        <v>41991.8413360501</v>
      </c>
      <c r="E48" s="2">
        <v>0.0</v>
      </c>
      <c r="F48" s="2">
        <v>11352.5180759803</v>
      </c>
      <c r="G48" s="3">
        <v>0.0</v>
      </c>
      <c r="H48" s="3">
        <v>0.0</v>
      </c>
      <c r="I48" s="3">
        <v>0.0</v>
      </c>
      <c r="J48" s="3">
        <v>6691.45628118567</v>
      </c>
      <c r="K48" s="3">
        <v>51801.2418903735</v>
      </c>
      <c r="L48" s="3">
        <v>0.0</v>
      </c>
      <c r="M48" s="3">
        <v>625.259643606542</v>
      </c>
      <c r="N48" s="3">
        <v>7935.04478443865</v>
      </c>
      <c r="O48" s="3">
        <v>4923.48414180521</v>
      </c>
      <c r="P48" s="3">
        <v>6988.65070192907</v>
      </c>
      <c r="Q48" s="3">
        <v>21589.6713104896</v>
      </c>
      <c r="R48" s="3">
        <v>1809.65016972548</v>
      </c>
      <c r="S48" s="3">
        <v>4031.81419727754</v>
      </c>
      <c r="T48" s="7">
        <v>3.53103950541606E-66</v>
      </c>
      <c r="U48" s="3">
        <v>49971.803532923</v>
      </c>
      <c r="V48" s="3">
        <v>0.0</v>
      </c>
      <c r="W48" s="3">
        <v>4518.35806176697</v>
      </c>
      <c r="X48" s="3">
        <v>9.55171552171576</v>
      </c>
      <c r="Y48" s="3">
        <v>0.0</v>
      </c>
      <c r="Z48" s="2">
        <v>0.0</v>
      </c>
      <c r="AA48" s="1">
        <v>214240.345843073</v>
      </c>
      <c r="AB48" s="2" t="s">
        <v>29</v>
      </c>
      <c r="AC48" s="2">
        <v>1.0</v>
      </c>
      <c r="AD48" s="2" t="b">
        <v>1</v>
      </c>
      <c r="AE48" s="1">
        <v>214370.37</v>
      </c>
      <c r="AF48" s="6">
        <f t="shared" si="1"/>
        <v>0.0006069078932</v>
      </c>
    </row>
    <row r="49">
      <c r="A49" s="4">
        <v>48.0</v>
      </c>
      <c r="B49" s="5">
        <v>44893.0</v>
      </c>
      <c r="C49" s="1">
        <v>82077.76</v>
      </c>
      <c r="D49" s="2">
        <v>41208.2806836376</v>
      </c>
      <c r="E49" s="2">
        <v>0.0</v>
      </c>
      <c r="F49" s="2">
        <v>11341.8820205739</v>
      </c>
      <c r="G49" s="3">
        <v>0.0</v>
      </c>
      <c r="H49" s="3">
        <v>0.0</v>
      </c>
      <c r="I49" s="3">
        <v>0.0</v>
      </c>
      <c r="J49" s="3">
        <v>6124.27764023963</v>
      </c>
      <c r="K49" s="3">
        <v>1103.71533770765</v>
      </c>
      <c r="L49" s="3">
        <v>0.0</v>
      </c>
      <c r="M49" s="3">
        <v>136.151355663085</v>
      </c>
      <c r="N49" s="3">
        <v>4417.83826849699</v>
      </c>
      <c r="O49" s="3">
        <v>5210.76767639167</v>
      </c>
      <c r="P49" s="3">
        <v>6104.09390891133</v>
      </c>
      <c r="Q49" s="3">
        <v>15250.7061223019</v>
      </c>
      <c r="R49" s="3">
        <v>1798.21987497015</v>
      </c>
      <c r="S49" s="3">
        <v>3970.0161982444</v>
      </c>
      <c r="T49" s="7">
        <v>2.13160640784624E-76</v>
      </c>
      <c r="U49" s="3">
        <v>8128.01211235595</v>
      </c>
      <c r="V49" s="3">
        <v>0.0</v>
      </c>
      <c r="W49" s="3">
        <v>1885.61953218224</v>
      </c>
      <c r="X49" s="3">
        <v>0.345664618891084</v>
      </c>
      <c r="Y49" s="3">
        <v>0.0</v>
      </c>
      <c r="Z49" s="2">
        <v>0.0</v>
      </c>
      <c r="AA49" s="1">
        <v>106679.926396295</v>
      </c>
      <c r="AB49" s="2" t="s">
        <v>29</v>
      </c>
      <c r="AC49" s="2">
        <v>1.0</v>
      </c>
      <c r="AD49" s="2" t="b">
        <v>1</v>
      </c>
      <c r="AE49" s="1">
        <v>82077.76</v>
      </c>
      <c r="AF49" s="6">
        <f t="shared" si="1"/>
        <v>-0.230616642</v>
      </c>
    </row>
    <row r="50">
      <c r="A50" s="4">
        <v>49.0</v>
      </c>
      <c r="B50" s="5">
        <v>44900.0</v>
      </c>
      <c r="C50" s="1">
        <v>53118.97</v>
      </c>
      <c r="D50" s="2">
        <v>19064.404933656</v>
      </c>
      <c r="E50" s="2">
        <v>-27653.5547400729</v>
      </c>
      <c r="F50" s="2">
        <v>11331.2459651674</v>
      </c>
      <c r="G50" s="3">
        <v>0.0</v>
      </c>
      <c r="H50" s="3">
        <v>0.0</v>
      </c>
      <c r="I50" s="3">
        <v>0.0</v>
      </c>
      <c r="J50" s="3">
        <v>5864.68944707093</v>
      </c>
      <c r="K50" s="3">
        <v>15460.0480694945</v>
      </c>
      <c r="L50" s="3">
        <v>0.0</v>
      </c>
      <c r="M50" s="3">
        <v>14.7241951567526</v>
      </c>
      <c r="N50" s="3">
        <v>1245.42543778907</v>
      </c>
      <c r="O50" s="3">
        <v>4612.62509517816</v>
      </c>
      <c r="P50" s="3">
        <v>4809.20235177305</v>
      </c>
      <c r="Q50" s="3">
        <v>10329.5258142187</v>
      </c>
      <c r="R50" s="3">
        <v>1638.46501039758</v>
      </c>
      <c r="S50" s="3">
        <v>3954.15744389335</v>
      </c>
      <c r="T50" s="7">
        <v>1.24192198429651E-87</v>
      </c>
      <c r="U50" s="3">
        <v>6383.18197861848</v>
      </c>
      <c r="V50" s="3">
        <v>0.0</v>
      </c>
      <c r="W50" s="3">
        <v>329.111369403076</v>
      </c>
      <c r="X50" s="3">
        <v>0.00666956874282107</v>
      </c>
      <c r="Y50" s="3">
        <v>0.0</v>
      </c>
      <c r="Z50" s="2">
        <v>0.0</v>
      </c>
      <c r="AA50" s="1">
        <v>57383.2590413129</v>
      </c>
      <c r="AB50" s="2" t="s">
        <v>29</v>
      </c>
      <c r="AC50" s="2">
        <v>1.0</v>
      </c>
      <c r="AD50" s="2" t="b">
        <v>1</v>
      </c>
      <c r="AE50" s="1">
        <v>53118.97</v>
      </c>
      <c r="AF50" s="6">
        <f t="shared" si="1"/>
        <v>-0.07431242339</v>
      </c>
    </row>
    <row r="51">
      <c r="A51" s="4">
        <v>50.0</v>
      </c>
      <c r="B51" s="5">
        <v>44907.0</v>
      </c>
      <c r="C51" s="1">
        <v>55529.88</v>
      </c>
      <c r="D51" s="2">
        <v>-4373.87861562873</v>
      </c>
      <c r="E51" s="2">
        <v>0.0</v>
      </c>
      <c r="F51" s="2">
        <v>11320.6099097609</v>
      </c>
      <c r="G51" s="3">
        <v>0.0</v>
      </c>
      <c r="H51" s="3">
        <v>0.0</v>
      </c>
      <c r="I51" s="3">
        <v>0.0</v>
      </c>
      <c r="J51" s="3">
        <v>5833.43606283227</v>
      </c>
      <c r="K51" s="3">
        <v>25423.418500411</v>
      </c>
      <c r="L51" s="3">
        <v>0.0</v>
      </c>
      <c r="M51" s="3">
        <v>0.68226377391272</v>
      </c>
      <c r="N51" s="3">
        <v>737.953792449523</v>
      </c>
      <c r="O51" s="3">
        <v>4260.91042328165</v>
      </c>
      <c r="P51" s="3">
        <v>4368.65596837774</v>
      </c>
      <c r="Q51" s="3">
        <v>9661.50033016268</v>
      </c>
      <c r="R51" s="3">
        <v>1508.73376616582</v>
      </c>
      <c r="S51" s="3">
        <v>3939.86711478284</v>
      </c>
      <c r="T51" s="7">
        <v>6.12188435247835E-100</v>
      </c>
      <c r="U51" s="3">
        <v>5865.53223988442</v>
      </c>
      <c r="V51" s="3">
        <v>0.0</v>
      </c>
      <c r="W51" s="3">
        <v>22.3629333333342</v>
      </c>
      <c r="X51" s="7">
        <v>7.15342917246801E-5</v>
      </c>
      <c r="Y51" s="3">
        <v>0.0</v>
      </c>
      <c r="Z51" s="2">
        <v>0.0</v>
      </c>
      <c r="AA51" s="1">
        <v>68569.7847611216</v>
      </c>
      <c r="AB51" s="2" t="s">
        <v>29</v>
      </c>
      <c r="AC51" s="2">
        <v>1.0</v>
      </c>
      <c r="AD51" s="2" t="b">
        <v>1</v>
      </c>
      <c r="AE51" s="1">
        <v>55529.88</v>
      </c>
      <c r="AF51" s="6">
        <f t="shared" si="1"/>
        <v>-0.1901698366</v>
      </c>
    </row>
    <row r="52">
      <c r="A52" s="4">
        <v>51.0</v>
      </c>
      <c r="B52" s="5">
        <v>44914.0</v>
      </c>
      <c r="C52" s="1">
        <v>17060.65</v>
      </c>
      <c r="D52" s="2">
        <v>-7743.90872740608</v>
      </c>
      <c r="E52" s="2">
        <v>-21074.2823246735</v>
      </c>
      <c r="F52" s="2">
        <v>11311.573633708</v>
      </c>
      <c r="G52" s="3">
        <v>0.0</v>
      </c>
      <c r="H52" s="3">
        <v>0.0</v>
      </c>
      <c r="I52" s="3">
        <v>0.0</v>
      </c>
      <c r="J52" s="3">
        <v>5704.6535186656</v>
      </c>
      <c r="K52" s="3">
        <v>48.0279978488992</v>
      </c>
      <c r="L52" s="3">
        <v>0.0</v>
      </c>
      <c r="M52" s="3">
        <v>0.0115262877731814</v>
      </c>
      <c r="N52" s="3">
        <v>399.720629850095</v>
      </c>
      <c r="O52" s="3">
        <v>3559.24355524862</v>
      </c>
      <c r="P52" s="3">
        <v>3761.95110229866</v>
      </c>
      <c r="Q52" s="3">
        <v>6253.54873063866</v>
      </c>
      <c r="R52" s="3">
        <v>1235.72289122592</v>
      </c>
      <c r="S52" s="3">
        <v>3866.95423354633</v>
      </c>
      <c r="T52" s="7">
        <v>2.2331583728638E-113</v>
      </c>
      <c r="U52" s="3">
        <v>1003.02348154687</v>
      </c>
      <c r="V52" s="3">
        <v>0.0</v>
      </c>
      <c r="W52" s="3">
        <v>5435.03760258613</v>
      </c>
      <c r="X52" s="7">
        <v>4.39982351200972E-7</v>
      </c>
      <c r="Y52" s="3">
        <v>0.0</v>
      </c>
      <c r="Z52" s="2">
        <v>0.0</v>
      </c>
      <c r="AA52" s="1">
        <v>13761.277851812</v>
      </c>
      <c r="AB52" s="2" t="s">
        <v>29</v>
      </c>
      <c r="AC52" s="2">
        <v>1.0</v>
      </c>
      <c r="AD52" s="2" t="b">
        <v>1</v>
      </c>
      <c r="AE52" s="1">
        <v>17060.65</v>
      </c>
      <c r="AF52" s="6">
        <f t="shared" si="1"/>
        <v>0.239757687</v>
      </c>
    </row>
    <row r="53">
      <c r="A53" s="4">
        <v>52.0</v>
      </c>
      <c r="B53" s="5">
        <v>44921.0</v>
      </c>
      <c r="C53" s="1">
        <v>23639.8</v>
      </c>
      <c r="D53" s="2">
        <v>12674.1664664833</v>
      </c>
      <c r="E53" s="2">
        <v>-38869.4974838663</v>
      </c>
      <c r="F53" s="2">
        <v>11302.5373576552</v>
      </c>
      <c r="G53" s="3">
        <v>0.0</v>
      </c>
      <c r="H53" s="3">
        <v>0.0</v>
      </c>
      <c r="I53" s="3">
        <v>0.0</v>
      </c>
      <c r="J53" s="3">
        <v>5490.66092232429</v>
      </c>
      <c r="K53" s="3">
        <v>4.69721808854322</v>
      </c>
      <c r="L53" s="3">
        <v>0.0</v>
      </c>
      <c r="M53" s="7">
        <v>5.99010737947204E-5</v>
      </c>
      <c r="N53" s="3">
        <v>288.28399613866</v>
      </c>
      <c r="O53" s="3">
        <v>1823.62448253239</v>
      </c>
      <c r="P53" s="3">
        <v>3416.92303714501</v>
      </c>
      <c r="Q53" s="3">
        <v>4705.71080498083</v>
      </c>
      <c r="R53" s="3">
        <v>943.2528207497</v>
      </c>
      <c r="S53" s="3">
        <v>3875.43378068667</v>
      </c>
      <c r="T53" s="7">
        <v>5.26110762869097E-128</v>
      </c>
      <c r="U53" s="3">
        <v>6212.86889031003</v>
      </c>
      <c r="V53" s="3">
        <v>0.0</v>
      </c>
      <c r="W53" s="3">
        <v>5838.56079420829</v>
      </c>
      <c r="X53" s="3">
        <v>53.8804901004584</v>
      </c>
      <c r="Y53" s="3">
        <v>0.0</v>
      </c>
      <c r="Z53" s="2">
        <v>0.0</v>
      </c>
      <c r="AA53" s="1">
        <v>17761.1036374381</v>
      </c>
      <c r="AB53" s="2" t="s">
        <v>29</v>
      </c>
      <c r="AC53" s="2">
        <v>1.0</v>
      </c>
      <c r="AD53" s="2" t="b">
        <v>1</v>
      </c>
      <c r="AE53" s="1">
        <v>23639.8</v>
      </c>
      <c r="AF53" s="6">
        <f t="shared" si="1"/>
        <v>0.33098711</v>
      </c>
    </row>
    <row r="54">
      <c r="A54" s="4">
        <v>53.0</v>
      </c>
      <c r="B54" s="5">
        <v>44928.0</v>
      </c>
      <c r="C54" s="1">
        <v>112255.96</v>
      </c>
      <c r="D54" s="2">
        <v>40480.5974216103</v>
      </c>
      <c r="E54" s="2">
        <v>-3225.45338831902</v>
      </c>
      <c r="F54" s="2">
        <v>11293.5010816024</v>
      </c>
      <c r="G54" s="3">
        <v>0.0</v>
      </c>
      <c r="H54" s="3">
        <v>4670.44295392314</v>
      </c>
      <c r="I54" s="3">
        <v>4688.44358499248</v>
      </c>
      <c r="J54" s="3">
        <v>5218.0504675996</v>
      </c>
      <c r="K54" s="3">
        <v>2196.23829031102</v>
      </c>
      <c r="L54" s="3">
        <v>0.0</v>
      </c>
      <c r="M54" s="7">
        <v>8.05091714035918E-8</v>
      </c>
      <c r="N54" s="3">
        <v>736.235034584977</v>
      </c>
      <c r="O54" s="3">
        <v>2026.346591222</v>
      </c>
      <c r="P54" s="3">
        <v>5092.57176605847</v>
      </c>
      <c r="Q54" s="3">
        <v>9204.8864848124</v>
      </c>
      <c r="R54" s="3">
        <v>1074.96299929852</v>
      </c>
      <c r="S54" s="3">
        <v>3954.75991943278</v>
      </c>
      <c r="T54" s="7">
        <v>6.97101938740671E-144</v>
      </c>
      <c r="U54" s="3">
        <v>4491.69268775017</v>
      </c>
      <c r="V54" s="3">
        <v>0.0</v>
      </c>
      <c r="W54" s="3">
        <v>4308.63928882626</v>
      </c>
      <c r="X54" s="3">
        <v>900.554005394972</v>
      </c>
      <c r="Y54" s="3">
        <v>0.0</v>
      </c>
      <c r="Z54" s="2">
        <v>0.0</v>
      </c>
      <c r="AA54" s="1">
        <v>97112.469189181</v>
      </c>
      <c r="AB54" s="2" t="s">
        <v>29</v>
      </c>
      <c r="AC54" s="2">
        <v>1.0</v>
      </c>
      <c r="AD54" s="2" t="b">
        <v>1</v>
      </c>
      <c r="AE54" s="1">
        <v>112255.96</v>
      </c>
      <c r="AF54" s="6">
        <f t="shared" si="1"/>
        <v>0.155937656</v>
      </c>
    </row>
    <row r="55">
      <c r="A55" s="4">
        <v>54.0</v>
      </c>
      <c r="B55" s="5">
        <v>44935.0</v>
      </c>
      <c r="C55" s="1">
        <v>93283.18</v>
      </c>
      <c r="D55" s="2">
        <v>54780.8237294214</v>
      </c>
      <c r="E55" s="2">
        <v>0.0</v>
      </c>
      <c r="F55" s="2">
        <v>11284.4648055495</v>
      </c>
      <c r="G55" s="3">
        <v>0.0</v>
      </c>
      <c r="H55" s="3">
        <v>0.0</v>
      </c>
      <c r="I55" s="3">
        <v>6721.0135524903</v>
      </c>
      <c r="J55" s="3">
        <v>4930.94976278572</v>
      </c>
      <c r="K55" s="3">
        <v>10294.0337309228</v>
      </c>
      <c r="L55" s="3">
        <v>0.0</v>
      </c>
      <c r="M55" s="7">
        <v>2.35238051679372E-11</v>
      </c>
      <c r="N55" s="3">
        <v>849.265424040968</v>
      </c>
      <c r="O55" s="3">
        <v>2307.55829300924</v>
      </c>
      <c r="P55" s="3">
        <v>5342.49681405544</v>
      </c>
      <c r="Q55" s="3">
        <v>12099.1139978294</v>
      </c>
      <c r="R55" s="3">
        <v>1235.54263200385</v>
      </c>
      <c r="S55" s="3">
        <v>3505.99818724707</v>
      </c>
      <c r="T55" s="7">
        <v>4.51431024397888E-161</v>
      </c>
      <c r="U55" s="3">
        <v>2531.16940657113</v>
      </c>
      <c r="V55" s="3">
        <v>0.0</v>
      </c>
      <c r="W55" s="3">
        <v>5834.28856370738</v>
      </c>
      <c r="X55" s="3">
        <v>554.599112645298</v>
      </c>
      <c r="Y55" s="3">
        <v>0.0</v>
      </c>
      <c r="Z55" s="2">
        <v>0.0</v>
      </c>
      <c r="AA55" s="1">
        <v>122271.31801228</v>
      </c>
      <c r="AB55" s="2" t="s">
        <v>29</v>
      </c>
      <c r="AC55" s="2">
        <v>1.0</v>
      </c>
      <c r="AD55" s="2" t="b">
        <v>1</v>
      </c>
      <c r="AE55" s="1">
        <v>93283.18</v>
      </c>
      <c r="AF55" s="6">
        <f t="shared" si="1"/>
        <v>-0.2370804411</v>
      </c>
    </row>
    <row r="56">
      <c r="A56" s="4">
        <v>55.0</v>
      </c>
      <c r="B56" s="5">
        <v>44942.0</v>
      </c>
      <c r="C56" s="1">
        <v>163683.59</v>
      </c>
      <c r="D56" s="2">
        <v>47966.0958146301</v>
      </c>
      <c r="E56" s="2">
        <v>0.0</v>
      </c>
      <c r="F56" s="2">
        <v>11275.4285294967</v>
      </c>
      <c r="G56" s="3">
        <v>0.0</v>
      </c>
      <c r="H56" s="3">
        <v>0.0</v>
      </c>
      <c r="I56" s="3">
        <v>7442.90444967019</v>
      </c>
      <c r="J56" s="3">
        <v>4678.93208355988</v>
      </c>
      <c r="K56" s="3">
        <v>10690.9848399561</v>
      </c>
      <c r="L56" s="3">
        <v>0.0</v>
      </c>
      <c r="M56" s="7">
        <v>1.25813973806518E-15</v>
      </c>
      <c r="N56" s="3">
        <v>705.879556632454</v>
      </c>
      <c r="O56" s="3">
        <v>2647.68227755675</v>
      </c>
      <c r="P56" s="3">
        <v>5375.30445139735</v>
      </c>
      <c r="Q56" s="3">
        <v>13641.8365927637</v>
      </c>
      <c r="R56" s="3">
        <v>1339.54339342895</v>
      </c>
      <c r="S56" s="3">
        <v>2988.65573897339</v>
      </c>
      <c r="T56" s="7">
        <v>1.23899732007822E-179</v>
      </c>
      <c r="U56" s="3">
        <v>5286.7743438718</v>
      </c>
      <c r="V56" s="3">
        <v>0.0</v>
      </c>
      <c r="W56" s="3">
        <v>6226.6672961329</v>
      </c>
      <c r="X56" s="3">
        <v>108.12937229674</v>
      </c>
      <c r="Y56" s="3">
        <v>0.0</v>
      </c>
      <c r="Z56" s="2">
        <v>0.0</v>
      </c>
      <c r="AA56" s="1">
        <v>120374.818740367</v>
      </c>
      <c r="AB56" s="2" t="s">
        <v>29</v>
      </c>
      <c r="AC56" s="2">
        <v>1.0</v>
      </c>
      <c r="AD56" s="2" t="b">
        <v>1</v>
      </c>
      <c r="AE56" s="1">
        <v>163683.59</v>
      </c>
      <c r="AF56" s="6">
        <f t="shared" si="1"/>
        <v>0.3597826498</v>
      </c>
    </row>
    <row r="57">
      <c r="A57" s="4">
        <v>56.0</v>
      </c>
      <c r="B57" s="5">
        <v>44949.0</v>
      </c>
      <c r="C57" s="1">
        <v>135103.9</v>
      </c>
      <c r="D57" s="2">
        <v>29142.1835065964</v>
      </c>
      <c r="E57" s="2">
        <v>0.0</v>
      </c>
      <c r="F57" s="2">
        <v>11268.5361681518</v>
      </c>
      <c r="G57" s="3">
        <v>0.0</v>
      </c>
      <c r="H57" s="3">
        <v>0.0</v>
      </c>
      <c r="I57" s="3">
        <v>7530.93289350029</v>
      </c>
      <c r="J57" s="3">
        <v>4490.98991985042</v>
      </c>
      <c r="K57" s="3">
        <v>11692.7205933111</v>
      </c>
      <c r="L57" s="3">
        <v>0.0</v>
      </c>
      <c r="M57" s="7">
        <v>1.03904464904657E-20</v>
      </c>
      <c r="N57" s="3">
        <v>834.921785705608</v>
      </c>
      <c r="O57" s="3">
        <v>3149.99987967285</v>
      </c>
      <c r="P57" s="3">
        <v>5314.0679238368</v>
      </c>
      <c r="Q57" s="3">
        <v>14231.3320534639</v>
      </c>
      <c r="R57" s="3">
        <v>1308.89954816167</v>
      </c>
      <c r="S57" s="3">
        <v>2471.93803684026</v>
      </c>
      <c r="T57" s="3">
        <v>0.0</v>
      </c>
      <c r="U57" s="3">
        <v>2758.5231193121</v>
      </c>
      <c r="V57" s="3">
        <v>0.0</v>
      </c>
      <c r="W57" s="3">
        <v>4658.2584632816</v>
      </c>
      <c r="X57" s="3">
        <v>9.06734429136896</v>
      </c>
      <c r="Y57" s="3">
        <v>0.0</v>
      </c>
      <c r="Z57" s="2">
        <v>0.0</v>
      </c>
      <c r="AA57" s="1">
        <v>98862.3712359762</v>
      </c>
      <c r="AB57" s="2" t="s">
        <v>29</v>
      </c>
      <c r="AC57" s="2">
        <v>1.0</v>
      </c>
      <c r="AD57" s="2" t="b">
        <v>1</v>
      </c>
      <c r="AE57" s="1">
        <v>135103.9</v>
      </c>
      <c r="AF57" s="6">
        <f t="shared" si="1"/>
        <v>0.3665856717</v>
      </c>
    </row>
    <row r="58">
      <c r="A58" s="4">
        <v>57.0</v>
      </c>
      <c r="B58" s="5">
        <v>44956.0</v>
      </c>
      <c r="C58" s="1">
        <v>115877.26</v>
      </c>
      <c r="D58" s="2">
        <v>12484.5495154153</v>
      </c>
      <c r="E58" s="2">
        <v>0.0</v>
      </c>
      <c r="F58" s="2">
        <v>11261.6438068068</v>
      </c>
      <c r="G58" s="3">
        <v>0.0</v>
      </c>
      <c r="H58" s="3">
        <v>0.0</v>
      </c>
      <c r="I58" s="3">
        <v>7268.36556114094</v>
      </c>
      <c r="J58" s="3">
        <v>4261.39773212948</v>
      </c>
      <c r="K58" s="3">
        <v>4393.87890299554</v>
      </c>
      <c r="L58" s="3">
        <v>0.0</v>
      </c>
      <c r="M58" s="7">
        <v>1.11895237473246E-26</v>
      </c>
      <c r="N58" s="3">
        <v>571.845773857572</v>
      </c>
      <c r="O58" s="3">
        <v>3377.28714912647</v>
      </c>
      <c r="P58" s="3">
        <v>5240.6031371336</v>
      </c>
      <c r="Q58" s="3">
        <v>14408.565977699</v>
      </c>
      <c r="R58" s="3">
        <v>1274.45135776544</v>
      </c>
      <c r="S58" s="3">
        <v>1992.32338708138</v>
      </c>
      <c r="T58" s="3">
        <v>0.0</v>
      </c>
      <c r="U58" s="3">
        <v>8929.91294778494</v>
      </c>
      <c r="V58" s="3">
        <v>0.0</v>
      </c>
      <c r="W58" s="3">
        <v>1962.16898275575</v>
      </c>
      <c r="X58" s="3">
        <v>0.38030112325399</v>
      </c>
      <c r="Y58" s="3">
        <v>0.0</v>
      </c>
      <c r="Z58" s="2">
        <v>0.0</v>
      </c>
      <c r="AA58" s="1">
        <v>77427.3745328155</v>
      </c>
      <c r="AB58" s="2" t="s">
        <v>29</v>
      </c>
      <c r="AC58" s="2">
        <v>1.0</v>
      </c>
      <c r="AD58" s="2" t="b">
        <v>1</v>
      </c>
      <c r="AE58" s="1">
        <v>115877.26</v>
      </c>
      <c r="AF58" s="6">
        <f t="shared" si="1"/>
        <v>0.496592913</v>
      </c>
    </row>
    <row r="59">
      <c r="A59" s="4">
        <v>58.0</v>
      </c>
      <c r="B59" s="5">
        <v>44963.0</v>
      </c>
      <c r="C59" s="1">
        <v>83048.07</v>
      </c>
      <c r="D59" s="2">
        <v>4259.71347454939</v>
      </c>
      <c r="E59" s="2">
        <v>0.0</v>
      </c>
      <c r="F59" s="2">
        <v>11254.7514454619</v>
      </c>
      <c r="G59" s="3">
        <v>0.0</v>
      </c>
      <c r="H59" s="3">
        <v>0.0</v>
      </c>
      <c r="I59" s="3">
        <v>6591.26660321736</v>
      </c>
      <c r="J59" s="3">
        <v>3877.91168509364</v>
      </c>
      <c r="K59" s="3">
        <v>1115.17751100921</v>
      </c>
      <c r="L59" s="3">
        <v>0.0</v>
      </c>
      <c r="M59" s="7">
        <v>1.32689650841882E-33</v>
      </c>
      <c r="N59" s="3">
        <v>521.416570890066</v>
      </c>
      <c r="O59" s="3">
        <v>2840.63483781541</v>
      </c>
      <c r="P59" s="3">
        <v>5411.98077692197</v>
      </c>
      <c r="Q59" s="3">
        <v>13592.0899156939</v>
      </c>
      <c r="R59" s="3">
        <v>1248.98923959576</v>
      </c>
      <c r="S59" s="3">
        <v>1569.23327514356</v>
      </c>
      <c r="T59" s="3">
        <v>0.0</v>
      </c>
      <c r="U59" s="3">
        <v>6493.15289810081</v>
      </c>
      <c r="V59" s="3">
        <v>0.0</v>
      </c>
      <c r="W59" s="3">
        <v>344.374621017066</v>
      </c>
      <c r="X59" s="3">
        <v>406.134922896027</v>
      </c>
      <c r="Y59" s="3">
        <v>0.0</v>
      </c>
      <c r="Z59" s="2">
        <v>0.0</v>
      </c>
      <c r="AA59" s="1">
        <v>59526.827777406</v>
      </c>
      <c r="AB59" s="2" t="s">
        <v>29</v>
      </c>
      <c r="AC59" s="2">
        <v>1.0</v>
      </c>
      <c r="AD59" s="2" t="b">
        <v>1</v>
      </c>
      <c r="AE59" s="1">
        <v>83048.07</v>
      </c>
      <c r="AF59" s="6">
        <f t="shared" si="1"/>
        <v>0.3951368333</v>
      </c>
    </row>
    <row r="60">
      <c r="A60" s="4">
        <v>59.0</v>
      </c>
      <c r="B60" s="5">
        <v>44970.0</v>
      </c>
      <c r="C60" s="1">
        <v>55915.92</v>
      </c>
      <c r="D60" s="2">
        <v>868.33433859063</v>
      </c>
      <c r="E60" s="2">
        <v>0.0</v>
      </c>
      <c r="F60" s="2">
        <v>11247.8590841169</v>
      </c>
      <c r="G60" s="3">
        <v>0.0</v>
      </c>
      <c r="H60" s="3">
        <v>0.0</v>
      </c>
      <c r="I60" s="3">
        <v>5833.89065451162</v>
      </c>
      <c r="J60" s="3">
        <v>3407.00972115519</v>
      </c>
      <c r="K60" s="3">
        <v>1043.70548126709</v>
      </c>
      <c r="L60" s="3">
        <v>0.0</v>
      </c>
      <c r="M60" s="7">
        <v>1.46179829075906E-41</v>
      </c>
      <c r="N60" s="3">
        <v>361.089777239332</v>
      </c>
      <c r="O60" s="3">
        <v>2998.19114466424</v>
      </c>
      <c r="P60" s="3">
        <v>5400.55713918784</v>
      </c>
      <c r="Q60" s="3">
        <v>11323.7248187011</v>
      </c>
      <c r="R60" s="3">
        <v>1342.77299820635</v>
      </c>
      <c r="S60" s="3">
        <v>1210.63528204901</v>
      </c>
      <c r="T60" s="3">
        <v>0.0</v>
      </c>
      <c r="U60" s="3">
        <v>5147.10864466303</v>
      </c>
      <c r="V60" s="3">
        <v>0.0</v>
      </c>
      <c r="W60" s="3">
        <v>23.425708940972</v>
      </c>
      <c r="X60" s="3">
        <v>2612.12449703068</v>
      </c>
      <c r="Y60" s="3">
        <v>0.0</v>
      </c>
      <c r="Z60" s="2">
        <v>0.0</v>
      </c>
      <c r="AA60" s="1">
        <v>52820.429290324</v>
      </c>
      <c r="AB60" s="2" t="s">
        <v>29</v>
      </c>
      <c r="AC60" s="2">
        <v>1.0</v>
      </c>
      <c r="AD60" s="2" t="b">
        <v>1</v>
      </c>
      <c r="AE60" s="1">
        <v>55915.92</v>
      </c>
      <c r="AF60" s="6">
        <f t="shared" si="1"/>
        <v>0.05860404301</v>
      </c>
    </row>
    <row r="61">
      <c r="A61" s="4">
        <v>60.0</v>
      </c>
      <c r="B61" s="5">
        <v>44977.0</v>
      </c>
      <c r="C61" s="1">
        <v>59609.23</v>
      </c>
      <c r="D61" s="2">
        <v>-3204.77668954815</v>
      </c>
      <c r="E61" s="2">
        <v>0.0</v>
      </c>
      <c r="F61" s="2">
        <v>11240.966722772</v>
      </c>
      <c r="G61" s="3">
        <v>0.0</v>
      </c>
      <c r="H61" s="3">
        <v>0.0</v>
      </c>
      <c r="I61" s="3">
        <v>5555.53346406408</v>
      </c>
      <c r="J61" s="3">
        <v>2851.99463253584</v>
      </c>
      <c r="K61" s="3">
        <v>1041.4273133297</v>
      </c>
      <c r="L61" s="3">
        <v>0.0</v>
      </c>
      <c r="M61" s="7">
        <v>1.26038928040725E-50</v>
      </c>
      <c r="N61" s="3">
        <v>1002.15781836968</v>
      </c>
      <c r="O61" s="3">
        <v>4353.87137063498</v>
      </c>
      <c r="P61" s="3">
        <v>5880.46338456075</v>
      </c>
      <c r="Q61" s="3">
        <v>9758.38300509953</v>
      </c>
      <c r="R61" s="3">
        <v>1489.91993475738</v>
      </c>
      <c r="S61" s="3">
        <v>916.631319257088</v>
      </c>
      <c r="T61" s="3">
        <v>0.0</v>
      </c>
      <c r="U61" s="3">
        <v>13905.0511680452</v>
      </c>
      <c r="V61" s="3">
        <v>0.0</v>
      </c>
      <c r="W61" s="3">
        <v>5826.2516326033</v>
      </c>
      <c r="X61" s="3">
        <v>1335.20358472193</v>
      </c>
      <c r="Y61" s="3">
        <v>0.0</v>
      </c>
      <c r="Z61" s="2">
        <v>0.0</v>
      </c>
      <c r="AA61" s="1">
        <v>61953.0786612033</v>
      </c>
      <c r="AB61" s="2" t="s">
        <v>29</v>
      </c>
      <c r="AC61" s="2">
        <v>1.0</v>
      </c>
      <c r="AD61" s="2" t="b">
        <v>1</v>
      </c>
      <c r="AE61" s="1">
        <v>59609.23</v>
      </c>
      <c r="AF61" s="6">
        <f t="shared" si="1"/>
        <v>-0.03783264225</v>
      </c>
    </row>
    <row r="62">
      <c r="A62" s="4">
        <v>61.0</v>
      </c>
      <c r="B62" s="5">
        <v>44984.0</v>
      </c>
      <c r="C62" s="1">
        <v>56002.57</v>
      </c>
      <c r="D62" s="2">
        <v>-8311.55847907603</v>
      </c>
      <c r="E62" s="2">
        <v>0.0</v>
      </c>
      <c r="F62" s="2">
        <v>11234.4001360737</v>
      </c>
      <c r="G62" s="3">
        <v>0.0</v>
      </c>
      <c r="H62" s="3">
        <v>0.0</v>
      </c>
      <c r="I62" s="3">
        <v>5697.29672928498</v>
      </c>
      <c r="J62" s="3">
        <v>6852.38547515889</v>
      </c>
      <c r="K62" s="3">
        <v>1379.55116535294</v>
      </c>
      <c r="L62" s="3">
        <v>0.0</v>
      </c>
      <c r="M62" s="7">
        <v>7.15300421276513E-61</v>
      </c>
      <c r="N62" s="3">
        <v>424.650533439169</v>
      </c>
      <c r="O62" s="3">
        <v>4397.42089690294</v>
      </c>
      <c r="P62" s="3">
        <v>5457.85088454956</v>
      </c>
      <c r="Q62" s="3">
        <v>7819.78779201976</v>
      </c>
      <c r="R62" s="3">
        <v>1460.54628929562</v>
      </c>
      <c r="S62" s="3">
        <v>682.325212816186</v>
      </c>
      <c r="T62" s="3">
        <v>0.0</v>
      </c>
      <c r="U62" s="3">
        <v>9702.26973148592</v>
      </c>
      <c r="V62" s="3">
        <v>0.0</v>
      </c>
      <c r="W62" s="3">
        <v>6909.15182332029</v>
      </c>
      <c r="X62" s="3">
        <v>229.540149197632</v>
      </c>
      <c r="Y62" s="3">
        <v>0.0</v>
      </c>
      <c r="Z62" s="2">
        <v>0.0</v>
      </c>
      <c r="AA62" s="1">
        <v>53935.6183398216</v>
      </c>
      <c r="AB62" s="2" t="s">
        <v>29</v>
      </c>
      <c r="AC62" s="2">
        <v>1.0</v>
      </c>
      <c r="AD62" s="2" t="b">
        <v>1</v>
      </c>
      <c r="AE62" s="1">
        <v>56002.57</v>
      </c>
      <c r="AF62" s="6">
        <f t="shared" si="1"/>
        <v>0.0383225728</v>
      </c>
    </row>
    <row r="63">
      <c r="A63" s="4">
        <v>62.0</v>
      </c>
      <c r="B63" s="5">
        <v>44991.0</v>
      </c>
      <c r="C63" s="1">
        <v>50441.41</v>
      </c>
      <c r="D63" s="2">
        <v>-10670.4789483604</v>
      </c>
      <c r="E63" s="2">
        <v>0.0</v>
      </c>
      <c r="F63" s="2">
        <v>11227.8335493755</v>
      </c>
      <c r="G63" s="3">
        <v>0.0</v>
      </c>
      <c r="H63" s="3">
        <v>0.0</v>
      </c>
      <c r="I63" s="3">
        <v>6228.34041246952</v>
      </c>
      <c r="J63" s="3">
        <v>9615.67304807208</v>
      </c>
      <c r="K63" s="3">
        <v>2247.48064123903</v>
      </c>
      <c r="L63" s="3">
        <v>0.0</v>
      </c>
      <c r="M63" s="7">
        <v>2.24321158929087E-72</v>
      </c>
      <c r="N63" s="3">
        <v>379.783151471753</v>
      </c>
      <c r="O63" s="3">
        <v>3186.74259825634</v>
      </c>
      <c r="P63" s="3">
        <v>5105.21978414745</v>
      </c>
      <c r="Q63" s="3">
        <v>6882.11658824867</v>
      </c>
      <c r="R63" s="3">
        <v>1217.49811361437</v>
      </c>
      <c r="S63" s="3">
        <v>500.123232611151</v>
      </c>
      <c r="T63" s="3">
        <v>0.0</v>
      </c>
      <c r="U63" s="3">
        <v>1708.98907331437</v>
      </c>
      <c r="V63" s="3">
        <v>0.0</v>
      </c>
      <c r="W63" s="3">
        <v>7048.06116919587</v>
      </c>
      <c r="X63" s="3">
        <v>1281.01858459859</v>
      </c>
      <c r="Y63" s="3">
        <v>0.0</v>
      </c>
      <c r="Z63" s="2">
        <v>0.0</v>
      </c>
      <c r="AA63" s="1">
        <v>45958.4009982542</v>
      </c>
      <c r="AB63" s="2" t="s">
        <v>29</v>
      </c>
      <c r="AC63" s="2">
        <v>1.0</v>
      </c>
      <c r="AD63" s="2" t="b">
        <v>1</v>
      </c>
      <c r="AE63" s="1">
        <v>50441.41</v>
      </c>
      <c r="AF63" s="6">
        <f t="shared" si="1"/>
        <v>0.09754492986</v>
      </c>
    </row>
    <row r="64">
      <c r="A64" s="4">
        <v>63.0</v>
      </c>
      <c r="B64" s="5">
        <v>44998.0</v>
      </c>
      <c r="C64" s="1">
        <v>50204.96</v>
      </c>
      <c r="D64" s="2">
        <v>-8288.11019898938</v>
      </c>
      <c r="E64" s="2">
        <v>0.0</v>
      </c>
      <c r="F64" s="2">
        <v>11221.2669626773</v>
      </c>
      <c r="G64" s="3">
        <v>0.0</v>
      </c>
      <c r="H64" s="3">
        <v>0.0</v>
      </c>
      <c r="I64" s="3">
        <v>6640.82060343009</v>
      </c>
      <c r="J64" s="3">
        <v>10668.8656009245</v>
      </c>
      <c r="K64" s="3">
        <v>2543.08177864153</v>
      </c>
      <c r="L64" s="3">
        <v>0.0</v>
      </c>
      <c r="M64" s="7">
        <v>3.25782792066138E-85</v>
      </c>
      <c r="N64" s="3">
        <v>265.601609308209</v>
      </c>
      <c r="O64" s="3">
        <v>2044.44198575595</v>
      </c>
      <c r="P64" s="3">
        <v>4877.98960485866</v>
      </c>
      <c r="Q64" s="3">
        <v>7613.9588995848</v>
      </c>
      <c r="R64" s="3">
        <v>974.754775772198</v>
      </c>
      <c r="S64" s="3">
        <v>361.445591542763</v>
      </c>
      <c r="T64" s="3">
        <v>0.0</v>
      </c>
      <c r="U64" s="3">
        <v>1057.70455193984</v>
      </c>
      <c r="V64" s="3">
        <v>0.0</v>
      </c>
      <c r="W64" s="3">
        <v>6450.33117692247</v>
      </c>
      <c r="X64" s="3">
        <v>2162.33467128319</v>
      </c>
      <c r="Y64" s="3">
        <v>0.0</v>
      </c>
      <c r="Z64" s="2">
        <v>0.0</v>
      </c>
      <c r="AA64" s="1">
        <v>48594.4876136521</v>
      </c>
      <c r="AB64" s="2" t="s">
        <v>29</v>
      </c>
      <c r="AC64" s="2">
        <v>1.0</v>
      </c>
      <c r="AD64" s="2" t="b">
        <v>1</v>
      </c>
      <c r="AE64" s="1">
        <v>50204.96</v>
      </c>
      <c r="AF64" s="6">
        <f t="shared" si="1"/>
        <v>0.03314105088</v>
      </c>
    </row>
    <row r="65">
      <c r="A65" s="4">
        <v>64.0</v>
      </c>
      <c r="B65" s="5">
        <v>45005.0</v>
      </c>
      <c r="C65" s="1">
        <v>51824.53</v>
      </c>
      <c r="D65" s="2">
        <v>-3845.29063309251</v>
      </c>
      <c r="E65" s="2">
        <v>0.0</v>
      </c>
      <c r="F65" s="2">
        <v>11214.700375979</v>
      </c>
      <c r="G65" s="3">
        <v>0.0</v>
      </c>
      <c r="H65" s="3">
        <v>0.0</v>
      </c>
      <c r="I65" s="3">
        <v>6705.96679578719</v>
      </c>
      <c r="J65" s="3">
        <v>10874.0906766512</v>
      </c>
      <c r="K65" s="3">
        <v>2721.50327221207</v>
      </c>
      <c r="L65" s="3">
        <v>0.0</v>
      </c>
      <c r="M65" s="7">
        <v>1.833234355422E-99</v>
      </c>
      <c r="N65" s="3">
        <v>254.505741653698</v>
      </c>
      <c r="O65" s="3">
        <v>1837.74224318079</v>
      </c>
      <c r="P65" s="3">
        <v>5179.09966272299</v>
      </c>
      <c r="Q65" s="3">
        <v>9256.67493618779</v>
      </c>
      <c r="R65" s="3">
        <v>947.55271264197</v>
      </c>
      <c r="S65" s="3">
        <v>257.870988030964</v>
      </c>
      <c r="T65" s="3">
        <v>0.0</v>
      </c>
      <c r="U65" s="3">
        <v>481.211910504086</v>
      </c>
      <c r="V65" s="3">
        <v>0.0</v>
      </c>
      <c r="W65" s="3">
        <v>4610.89745993751</v>
      </c>
      <c r="X65" s="3">
        <v>816.61078771881</v>
      </c>
      <c r="Y65" s="3">
        <v>0.0</v>
      </c>
      <c r="Z65" s="2">
        <v>0.0</v>
      </c>
      <c r="AA65" s="1">
        <v>51313.1369301155</v>
      </c>
      <c r="AB65" s="2" t="s">
        <v>29</v>
      </c>
      <c r="AC65" s="2">
        <v>1.0</v>
      </c>
      <c r="AD65" s="2" t="b">
        <v>1</v>
      </c>
      <c r="AE65" s="1">
        <v>51824.53</v>
      </c>
      <c r="AF65" s="6">
        <f t="shared" si="1"/>
        <v>0.009966123696</v>
      </c>
    </row>
    <row r="66">
      <c r="A66" s="4">
        <v>65.0</v>
      </c>
      <c r="B66" s="5">
        <v>45012.0</v>
      </c>
      <c r="C66" s="1">
        <v>69971.46</v>
      </c>
      <c r="D66" s="2">
        <v>-1695.29474293211</v>
      </c>
      <c r="E66" s="2">
        <v>0.0</v>
      </c>
      <c r="F66" s="2">
        <v>11208.1337892808</v>
      </c>
      <c r="G66" s="3">
        <v>0.0</v>
      </c>
      <c r="H66" s="3">
        <v>0.0</v>
      </c>
      <c r="I66" s="3">
        <v>6742.72043101697</v>
      </c>
      <c r="J66" s="3">
        <v>10522.369737886</v>
      </c>
      <c r="K66" s="3">
        <v>11878.3106120803</v>
      </c>
      <c r="L66" s="3">
        <v>0.0</v>
      </c>
      <c r="M66" s="7">
        <v>3.33893318095073E-115</v>
      </c>
      <c r="N66" s="3">
        <v>296.075265463647</v>
      </c>
      <c r="O66" s="3">
        <v>1713.37790336064</v>
      </c>
      <c r="P66" s="3">
        <v>6084.02412732739</v>
      </c>
      <c r="Q66" s="3">
        <v>11054.6497892774</v>
      </c>
      <c r="R66" s="3">
        <v>1062.50054154343</v>
      </c>
      <c r="S66" s="3">
        <v>181.801236370286</v>
      </c>
      <c r="T66" s="3">
        <v>0.0</v>
      </c>
      <c r="U66" s="3">
        <v>5019.44564307738</v>
      </c>
      <c r="V66" s="3">
        <v>0.0</v>
      </c>
      <c r="W66" s="3">
        <v>1907.79248258422</v>
      </c>
      <c r="X66" s="3">
        <v>1859.62744943892</v>
      </c>
      <c r="Y66" s="3">
        <v>0.0</v>
      </c>
      <c r="Z66" s="2">
        <v>0.0</v>
      </c>
      <c r="AA66" s="1">
        <v>67835.5342657753</v>
      </c>
      <c r="AB66" s="2" t="s">
        <v>29</v>
      </c>
      <c r="AC66" s="2">
        <v>1.0</v>
      </c>
      <c r="AD66" s="2" t="b">
        <v>1</v>
      </c>
      <c r="AE66" s="1">
        <v>69971.46</v>
      </c>
      <c r="AF66" s="6">
        <f t="shared" si="1"/>
        <v>0.03148682703</v>
      </c>
    </row>
    <row r="67">
      <c r="A67" s="4">
        <v>66.0</v>
      </c>
      <c r="B67" s="5">
        <v>45019.0</v>
      </c>
      <c r="C67" s="1">
        <v>57994.03</v>
      </c>
      <c r="D67" s="2">
        <v>-3380.68671406283</v>
      </c>
      <c r="E67" s="2">
        <v>2659.5295373072</v>
      </c>
      <c r="F67" s="2">
        <v>11201.5675264159</v>
      </c>
      <c r="G67" s="3">
        <v>0.0</v>
      </c>
      <c r="H67" s="3">
        <v>0.0</v>
      </c>
      <c r="I67" s="3">
        <v>7281.9201035215</v>
      </c>
      <c r="J67" s="3">
        <v>9682.32661422687</v>
      </c>
      <c r="K67" s="3">
        <v>4215.468417884</v>
      </c>
      <c r="L67" s="3">
        <v>0.0</v>
      </c>
      <c r="M67" s="7">
        <v>1.64176322516672E-132</v>
      </c>
      <c r="N67" s="3">
        <v>1748.69402727768</v>
      </c>
      <c r="O67" s="3">
        <v>1412.47212136443</v>
      </c>
      <c r="P67" s="3">
        <v>6207.2410968055</v>
      </c>
      <c r="Q67" s="3">
        <v>9951.46425122741</v>
      </c>
      <c r="R67" s="3">
        <v>1012.91749439675</v>
      </c>
      <c r="S67" s="3">
        <v>126.765885243671</v>
      </c>
      <c r="T67" s="3">
        <v>0.0</v>
      </c>
      <c r="U67" s="3">
        <v>0.0530521088287287</v>
      </c>
      <c r="V67" s="3">
        <v>0.0</v>
      </c>
      <c r="W67" s="3">
        <v>332.670624126635</v>
      </c>
      <c r="X67" s="3">
        <v>3588.12450007118</v>
      </c>
      <c r="Y67" s="3">
        <v>0.0</v>
      </c>
      <c r="Z67" s="2">
        <v>0.0</v>
      </c>
      <c r="AA67" s="1">
        <v>56040.5285379147</v>
      </c>
      <c r="AB67" s="2" t="s">
        <v>29</v>
      </c>
      <c r="AC67" s="2">
        <v>1.0</v>
      </c>
      <c r="AD67" s="2" t="b">
        <v>1</v>
      </c>
      <c r="AE67" s="1">
        <v>57994.03</v>
      </c>
      <c r="AF67" s="6">
        <f t="shared" si="1"/>
        <v>0.03485872659</v>
      </c>
    </row>
    <row r="68">
      <c r="A68" s="4">
        <v>67.0</v>
      </c>
      <c r="B68" s="5">
        <v>45026.0</v>
      </c>
      <c r="C68" s="1">
        <v>69225.24</v>
      </c>
      <c r="D68" s="2">
        <v>-6895.49074180047</v>
      </c>
      <c r="E68" s="2">
        <v>614.55054538661</v>
      </c>
      <c r="F68" s="2">
        <v>11195.0012635511</v>
      </c>
      <c r="G68" s="3">
        <v>0.0</v>
      </c>
      <c r="H68" s="3">
        <v>0.0</v>
      </c>
      <c r="I68" s="3">
        <v>7811.18664931932</v>
      </c>
      <c r="J68" s="3">
        <v>8468.64007080526</v>
      </c>
      <c r="K68" s="3">
        <v>3754.68505566471</v>
      </c>
      <c r="L68" s="3">
        <v>0.0</v>
      </c>
      <c r="M68" s="7">
        <v>1.8151599056087E-151</v>
      </c>
      <c r="N68" s="3">
        <v>623.038696697483</v>
      </c>
      <c r="O68" s="3">
        <v>2124.39245392475</v>
      </c>
      <c r="P68" s="3">
        <v>7033.78945206063</v>
      </c>
      <c r="Q68" s="3">
        <v>11648.3488169068</v>
      </c>
      <c r="R68" s="3">
        <v>1026.59304669754</v>
      </c>
      <c r="S68" s="3">
        <v>87.4861291860718</v>
      </c>
      <c r="T68" s="3">
        <v>0.0</v>
      </c>
      <c r="U68" s="3">
        <v>471.83894300672</v>
      </c>
      <c r="V68" s="3">
        <v>0.0</v>
      </c>
      <c r="W68" s="3">
        <v>22.6039425264168</v>
      </c>
      <c r="X68" s="3">
        <v>1619.94961470408</v>
      </c>
      <c r="Y68" s="3">
        <v>0.0</v>
      </c>
      <c r="Z68" s="2">
        <v>0.0</v>
      </c>
      <c r="AA68" s="1">
        <v>49606.613938637</v>
      </c>
      <c r="AB68" s="2" t="s">
        <v>29</v>
      </c>
      <c r="AC68" s="2">
        <v>1.0</v>
      </c>
      <c r="AD68" s="2" t="b">
        <v>1</v>
      </c>
      <c r="AE68" s="1">
        <v>69225.24</v>
      </c>
      <c r="AF68" s="6">
        <f t="shared" si="1"/>
        <v>0.3954840797</v>
      </c>
    </row>
    <row r="69">
      <c r="A69" s="4">
        <v>68.0</v>
      </c>
      <c r="B69" s="5">
        <v>45033.0</v>
      </c>
      <c r="C69" s="1">
        <v>41036.01</v>
      </c>
      <c r="D69" s="2">
        <v>-9659.94668442555</v>
      </c>
      <c r="E69" s="2">
        <v>0.0</v>
      </c>
      <c r="F69" s="2">
        <v>11188.4350006862</v>
      </c>
      <c r="G69" s="3">
        <v>438.976882654226</v>
      </c>
      <c r="H69" s="3">
        <v>0.0</v>
      </c>
      <c r="I69" s="3">
        <v>7929.04243774853</v>
      </c>
      <c r="J69" s="3">
        <v>7591.01750569769</v>
      </c>
      <c r="K69" s="3">
        <v>1896.30946002838</v>
      </c>
      <c r="L69" s="3">
        <v>0.0</v>
      </c>
      <c r="M69" s="7">
        <v>3.75328731962198E-172</v>
      </c>
      <c r="N69" s="3">
        <v>175.796121228176</v>
      </c>
      <c r="O69" s="3">
        <v>2492.22066892808</v>
      </c>
      <c r="P69" s="3">
        <v>6555.91092453664</v>
      </c>
      <c r="Q69" s="3">
        <v>10894.6825443015</v>
      </c>
      <c r="R69" s="3">
        <v>1009.46693301799</v>
      </c>
      <c r="S69" s="3">
        <v>59.7969900712</v>
      </c>
      <c r="T69" s="3">
        <v>0.0</v>
      </c>
      <c r="U69" s="3">
        <v>481.084976667774</v>
      </c>
      <c r="V69" s="3">
        <v>0.0</v>
      </c>
      <c r="W69" s="3">
        <v>6389.32011089106</v>
      </c>
      <c r="X69" s="3">
        <v>259.330373334295</v>
      </c>
      <c r="Y69" s="3">
        <v>0.0</v>
      </c>
      <c r="Z69" s="2">
        <v>0.0</v>
      </c>
      <c r="AA69" s="1">
        <v>47701.4442453662</v>
      </c>
      <c r="AB69" s="2" t="s">
        <v>29</v>
      </c>
      <c r="AC69" s="2">
        <v>1.0</v>
      </c>
      <c r="AD69" s="2" t="b">
        <v>1</v>
      </c>
      <c r="AE69" s="1">
        <v>41036.01</v>
      </c>
      <c r="AF69" s="6">
        <f t="shared" si="1"/>
        <v>-0.1397323362</v>
      </c>
    </row>
    <row r="70">
      <c r="A70" s="4">
        <v>69.0</v>
      </c>
      <c r="B70" s="5">
        <v>45040.0</v>
      </c>
      <c r="C70" s="1">
        <v>60967.67</v>
      </c>
      <c r="D70" s="2">
        <v>-11103.1392251614</v>
      </c>
      <c r="E70" s="2">
        <v>6365.30067777492</v>
      </c>
      <c r="F70" s="2">
        <v>11181.8687378213</v>
      </c>
      <c r="G70" s="3">
        <v>0.0</v>
      </c>
      <c r="H70" s="3">
        <v>0.0</v>
      </c>
      <c r="I70" s="3">
        <v>7891.31508932946</v>
      </c>
      <c r="J70" s="3">
        <v>8300.7618691869</v>
      </c>
      <c r="K70" s="3">
        <v>1483.8411540763</v>
      </c>
      <c r="L70" s="3">
        <v>0.0</v>
      </c>
      <c r="M70" s="7">
        <v>1.20564412174133E-194</v>
      </c>
      <c r="N70" s="3">
        <v>955.166305214036</v>
      </c>
      <c r="O70" s="3">
        <v>2445.364424599</v>
      </c>
      <c r="P70" s="3">
        <v>6414.72025497229</v>
      </c>
      <c r="Q70" s="3">
        <v>12422.1600518167</v>
      </c>
      <c r="R70" s="3">
        <v>1069.01960921846</v>
      </c>
      <c r="S70" s="3">
        <v>40.4999756725897</v>
      </c>
      <c r="T70" s="3">
        <v>0.0</v>
      </c>
      <c r="U70" s="3">
        <v>477.399948840909</v>
      </c>
      <c r="V70" s="3">
        <v>0.0</v>
      </c>
      <c r="W70" s="3">
        <v>6802.59612574713</v>
      </c>
      <c r="X70" s="3">
        <v>17.4422779982494</v>
      </c>
      <c r="Y70" s="3">
        <v>0.0</v>
      </c>
      <c r="Z70" s="2">
        <v>0.0</v>
      </c>
      <c r="AA70" s="1">
        <v>54764.3172771069</v>
      </c>
      <c r="AB70" s="2" t="s">
        <v>29</v>
      </c>
      <c r="AC70" s="2">
        <v>1.0</v>
      </c>
      <c r="AD70" s="2" t="b">
        <v>1</v>
      </c>
      <c r="AE70" s="1">
        <v>60967.67</v>
      </c>
      <c r="AF70" s="6">
        <f t="shared" si="1"/>
        <v>0.1132736247</v>
      </c>
    </row>
    <row r="71">
      <c r="A71" s="4">
        <v>70.0</v>
      </c>
      <c r="B71" s="5">
        <v>45047.0</v>
      </c>
      <c r="C71" s="1">
        <v>44260.72</v>
      </c>
      <c r="D71" s="2">
        <v>-12272.6744299666</v>
      </c>
      <c r="E71" s="2">
        <v>-1653.43092522872</v>
      </c>
      <c r="F71" s="2">
        <v>11175.3024749565</v>
      </c>
      <c r="G71" s="3">
        <v>0.0</v>
      </c>
      <c r="H71" s="3">
        <v>0.0</v>
      </c>
      <c r="I71" s="3">
        <v>7863.28389717221</v>
      </c>
      <c r="J71" s="3">
        <v>8855.79837472665</v>
      </c>
      <c r="K71" s="3">
        <v>5785.40149900767</v>
      </c>
      <c r="L71" s="3">
        <v>0.0</v>
      </c>
      <c r="M71" s="7">
        <v>4.99118439176607E-219</v>
      </c>
      <c r="N71" s="3">
        <v>511.072440472582</v>
      </c>
      <c r="O71" s="3">
        <v>2827.37341523903</v>
      </c>
      <c r="P71" s="3">
        <v>6291.18738843634</v>
      </c>
      <c r="Q71" s="3">
        <v>12765.0900241433</v>
      </c>
      <c r="R71" s="3">
        <v>1108.98354784135</v>
      </c>
      <c r="S71" s="3">
        <v>27.1934615121265</v>
      </c>
      <c r="T71" s="3">
        <v>0.0</v>
      </c>
      <c r="U71" s="3">
        <v>556.92520854764</v>
      </c>
      <c r="V71" s="3">
        <v>0.0</v>
      </c>
      <c r="W71" s="3">
        <v>5195.40358318441</v>
      </c>
      <c r="X71" s="3">
        <v>1136.23945875346</v>
      </c>
      <c r="Y71" s="3">
        <v>0.0</v>
      </c>
      <c r="Z71" s="2">
        <v>0.0</v>
      </c>
      <c r="AA71" s="1">
        <v>50173.149418798</v>
      </c>
      <c r="AB71" s="2" t="s">
        <v>29</v>
      </c>
      <c r="AC71" s="2">
        <v>1.0</v>
      </c>
      <c r="AD71" s="2" t="b">
        <v>1</v>
      </c>
      <c r="AE71" s="1">
        <v>44260.72</v>
      </c>
      <c r="AF71" s="6">
        <f t="shared" si="1"/>
        <v>-0.1178405081</v>
      </c>
    </row>
    <row r="72">
      <c r="A72" s="4">
        <v>71.0</v>
      </c>
      <c r="B72" s="5">
        <v>45054.0</v>
      </c>
      <c r="C72" s="1">
        <v>40464.8</v>
      </c>
      <c r="D72" s="2">
        <v>-13937.0935321311</v>
      </c>
      <c r="E72" s="2">
        <v>0.0</v>
      </c>
      <c r="F72" s="2">
        <v>11168.7362131686</v>
      </c>
      <c r="G72" s="3">
        <v>0.0</v>
      </c>
      <c r="H72" s="3">
        <v>4670.44295392314</v>
      </c>
      <c r="I72" s="3">
        <v>7939.44075889302</v>
      </c>
      <c r="J72" s="3">
        <v>8859.03290293584</v>
      </c>
      <c r="K72" s="3">
        <v>3793.56176577466</v>
      </c>
      <c r="L72" s="3">
        <v>0.0</v>
      </c>
      <c r="M72" s="7">
        <v>2.20648502920217E-245</v>
      </c>
      <c r="N72" s="3">
        <v>972.36710630096</v>
      </c>
      <c r="O72" s="3">
        <v>3046.15795083231</v>
      </c>
      <c r="P72" s="3">
        <v>6221.91021302406</v>
      </c>
      <c r="Q72" s="3">
        <v>13050.8318830959</v>
      </c>
      <c r="R72" s="3">
        <v>1303.94421677563</v>
      </c>
      <c r="S72" s="3">
        <v>18.1084177682734</v>
      </c>
      <c r="T72" s="3">
        <v>0.0</v>
      </c>
      <c r="U72" s="3">
        <v>5110.53671317006</v>
      </c>
      <c r="V72" s="3">
        <v>0.0</v>
      </c>
      <c r="W72" s="3">
        <v>2269.86425934262</v>
      </c>
      <c r="X72" s="3">
        <v>3356.06152020383</v>
      </c>
      <c r="Y72" s="3">
        <v>0.0</v>
      </c>
      <c r="Z72" s="2">
        <v>0.0</v>
      </c>
      <c r="AA72" s="1">
        <v>57843.9033430779</v>
      </c>
      <c r="AB72" s="2" t="s">
        <v>29</v>
      </c>
      <c r="AC72" s="2">
        <v>1.0</v>
      </c>
      <c r="AD72" s="2" t="b">
        <v>1</v>
      </c>
      <c r="AE72" s="1">
        <v>40464.8</v>
      </c>
      <c r="AF72" s="6">
        <f t="shared" si="1"/>
        <v>-0.3004483159</v>
      </c>
    </row>
    <row r="73">
      <c r="A73" s="4">
        <v>72.0</v>
      </c>
      <c r="B73" s="5">
        <v>45061.0</v>
      </c>
      <c r="C73" s="1">
        <v>45797.87</v>
      </c>
      <c r="D73" s="2">
        <v>-15843.0277518169</v>
      </c>
      <c r="E73" s="2">
        <v>0.0</v>
      </c>
      <c r="F73" s="2">
        <v>11162.1699513808</v>
      </c>
      <c r="G73" s="3">
        <v>0.0</v>
      </c>
      <c r="H73" s="3">
        <v>0.0</v>
      </c>
      <c r="I73" s="3">
        <v>8087.37088675633</v>
      </c>
      <c r="J73" s="3">
        <v>8375.16887650162</v>
      </c>
      <c r="K73" s="3">
        <v>651.657668103114</v>
      </c>
      <c r="L73" s="3">
        <v>0.0</v>
      </c>
      <c r="M73" s="7">
        <v>8.62053620518533E-274</v>
      </c>
      <c r="N73" s="3">
        <v>963.574679870089</v>
      </c>
      <c r="O73" s="3">
        <v>2739.36348165699</v>
      </c>
      <c r="P73" s="3">
        <v>5680.69977682995</v>
      </c>
      <c r="Q73" s="3">
        <v>13730.6615497906</v>
      </c>
      <c r="R73" s="3">
        <v>1285.83260333046</v>
      </c>
      <c r="S73" s="3">
        <v>11.963350506067</v>
      </c>
      <c r="T73" s="3">
        <v>0.0</v>
      </c>
      <c r="U73" s="3">
        <v>10365.5619569415</v>
      </c>
      <c r="V73" s="3">
        <v>0.0</v>
      </c>
      <c r="W73" s="3">
        <v>407.476050498155</v>
      </c>
      <c r="X73" s="3">
        <v>1583.72222562355</v>
      </c>
      <c r="Y73" s="3">
        <v>0.0</v>
      </c>
      <c r="Z73" s="2">
        <v>0.0</v>
      </c>
      <c r="AA73" s="1">
        <v>49202.1953059723</v>
      </c>
      <c r="AB73" s="2" t="s">
        <v>29</v>
      </c>
      <c r="AC73" s="2">
        <v>1.0</v>
      </c>
      <c r="AD73" s="2" t="b">
        <v>1</v>
      </c>
      <c r="AE73" s="1">
        <v>45797.87</v>
      </c>
      <c r="AF73" s="6">
        <f t="shared" si="1"/>
        <v>-0.0691905165</v>
      </c>
    </row>
    <row r="74">
      <c r="A74" s="4">
        <v>73.0</v>
      </c>
      <c r="B74" s="5">
        <v>45068.0</v>
      </c>
      <c r="C74" s="1">
        <v>33512.58</v>
      </c>
      <c r="D74" s="2">
        <v>-17461.5883754225</v>
      </c>
      <c r="E74" s="2">
        <v>0.0</v>
      </c>
      <c r="F74" s="2">
        <v>11155.6036895929</v>
      </c>
      <c r="G74" s="3">
        <v>0.0</v>
      </c>
      <c r="H74" s="3">
        <v>0.0</v>
      </c>
      <c r="I74" s="3">
        <v>8165.81973581637</v>
      </c>
      <c r="J74" s="3">
        <v>7493.49411965718</v>
      </c>
      <c r="K74" s="3">
        <v>1260.51270583582</v>
      </c>
      <c r="L74" s="3">
        <v>0.0</v>
      </c>
      <c r="M74" s="7">
        <v>2.4605414942662E-304</v>
      </c>
      <c r="N74" s="3">
        <v>2011.71749233</v>
      </c>
      <c r="O74" s="3">
        <v>2107.17491270446</v>
      </c>
      <c r="P74" s="3">
        <v>5093.00884645477</v>
      </c>
      <c r="Q74" s="3">
        <v>12036.5538998749</v>
      </c>
      <c r="R74" s="3">
        <v>1120.44225810118</v>
      </c>
      <c r="S74" s="3">
        <v>7.84356731504783</v>
      </c>
      <c r="T74" s="3">
        <v>0.0</v>
      </c>
      <c r="U74" s="3">
        <v>1324.24974783324</v>
      </c>
      <c r="V74" s="3">
        <v>0.0</v>
      </c>
      <c r="W74" s="3">
        <v>6306.69688589796</v>
      </c>
      <c r="X74" s="3">
        <v>257.007656971059</v>
      </c>
      <c r="Y74" s="3">
        <v>0.0</v>
      </c>
      <c r="Z74" s="2">
        <v>0.0</v>
      </c>
      <c r="AA74" s="1">
        <v>40878.5371429623</v>
      </c>
      <c r="AB74" s="2" t="s">
        <v>29</v>
      </c>
      <c r="AC74" s="2">
        <v>1.0</v>
      </c>
      <c r="AD74" s="2" t="b">
        <v>1</v>
      </c>
      <c r="AE74" s="1">
        <v>33512.58</v>
      </c>
      <c r="AF74" s="6">
        <f t="shared" si="1"/>
        <v>-0.1801913096</v>
      </c>
    </row>
    <row r="75">
      <c r="A75" s="4">
        <v>74.0</v>
      </c>
      <c r="B75" s="5">
        <v>45075.0</v>
      </c>
      <c r="C75" s="1">
        <v>40485.49</v>
      </c>
      <c r="D75" s="2">
        <v>-18573.827203075</v>
      </c>
      <c r="E75" s="2">
        <v>1520.82592249989</v>
      </c>
      <c r="F75" s="2">
        <v>11149.037427805</v>
      </c>
      <c r="G75" s="3">
        <v>438.976882654226</v>
      </c>
      <c r="H75" s="3">
        <v>0.0</v>
      </c>
      <c r="I75" s="3">
        <v>8172.6539332233</v>
      </c>
      <c r="J75" s="3">
        <v>6337.33780630297</v>
      </c>
      <c r="K75" s="3">
        <v>7441.00007023318</v>
      </c>
      <c r="L75" s="3">
        <v>0.0</v>
      </c>
      <c r="M75" s="3">
        <v>0.0</v>
      </c>
      <c r="N75" s="3">
        <v>726.836612392349</v>
      </c>
      <c r="O75" s="3">
        <v>1104.04053366137</v>
      </c>
      <c r="P75" s="3">
        <v>5111.10932419199</v>
      </c>
      <c r="Q75" s="3">
        <v>11684.2797784667</v>
      </c>
      <c r="R75" s="3">
        <v>983.260103220162</v>
      </c>
      <c r="S75" s="3">
        <v>5.10482089460783</v>
      </c>
      <c r="T75" s="3">
        <v>0.0</v>
      </c>
      <c r="U75" s="3">
        <v>1289.31090611565</v>
      </c>
      <c r="V75" s="3">
        <v>0.0</v>
      </c>
      <c r="W75" s="3">
        <v>6719.8075315899</v>
      </c>
      <c r="X75" s="3">
        <v>17.3333410158571</v>
      </c>
      <c r="Y75" s="3">
        <v>0.0</v>
      </c>
      <c r="Z75" s="2">
        <v>0.0</v>
      </c>
      <c r="AA75" s="1">
        <v>44127.0877911923</v>
      </c>
      <c r="AB75" s="2" t="s">
        <v>29</v>
      </c>
      <c r="AC75" s="2">
        <v>1.0</v>
      </c>
      <c r="AD75" s="2" t="b">
        <v>1</v>
      </c>
      <c r="AE75" s="1">
        <v>40485.49</v>
      </c>
      <c r="AF75" s="6">
        <f t="shared" si="1"/>
        <v>-0.0825252237</v>
      </c>
    </row>
    <row r="76">
      <c r="A76" s="4">
        <v>75.0</v>
      </c>
      <c r="B76" s="5">
        <v>45082.0</v>
      </c>
      <c r="C76" s="1">
        <v>42912.21</v>
      </c>
      <c r="D76" s="2">
        <v>-18909.2658328035</v>
      </c>
      <c r="E76" s="2">
        <v>0.0</v>
      </c>
      <c r="F76" s="2">
        <v>11142.4711660172</v>
      </c>
      <c r="G76" s="3">
        <v>0.0</v>
      </c>
      <c r="H76" s="3">
        <v>0.0</v>
      </c>
      <c r="I76" s="3">
        <v>8136.19621236934</v>
      </c>
      <c r="J76" s="3">
        <v>5071.93256126554</v>
      </c>
      <c r="K76" s="3">
        <v>8513.35451360769</v>
      </c>
      <c r="L76" s="3">
        <v>0.0</v>
      </c>
      <c r="M76" s="3">
        <v>0.0</v>
      </c>
      <c r="N76" s="3">
        <v>1238.69069517687</v>
      </c>
      <c r="O76" s="3">
        <v>543.496267476038</v>
      </c>
      <c r="P76" s="3">
        <v>5155.1616604293</v>
      </c>
      <c r="Q76" s="3">
        <v>12994.9152658022</v>
      </c>
      <c r="R76" s="3">
        <v>932.8094198328</v>
      </c>
      <c r="S76" s="3">
        <v>3.29882376492917</v>
      </c>
      <c r="T76" s="3">
        <v>0.0</v>
      </c>
      <c r="U76" s="3">
        <v>7745.21461020999</v>
      </c>
      <c r="V76" s="3">
        <v>0.0</v>
      </c>
      <c r="W76" s="3">
        <v>5116.82661088236</v>
      </c>
      <c r="X76" s="3">
        <v>2606.72936828707</v>
      </c>
      <c r="Y76" s="3">
        <v>0.0</v>
      </c>
      <c r="Z76" s="2">
        <v>0.0</v>
      </c>
      <c r="AA76" s="1">
        <v>50291.8313423177</v>
      </c>
      <c r="AB76" s="2" t="s">
        <v>29</v>
      </c>
      <c r="AC76" s="2">
        <v>1.0</v>
      </c>
      <c r="AD76" s="2" t="b">
        <v>1</v>
      </c>
      <c r="AE76" s="1">
        <v>42912.21</v>
      </c>
      <c r="AF76" s="6">
        <f t="shared" si="1"/>
        <v>-0.1467359837</v>
      </c>
    </row>
    <row r="77">
      <c r="A77" s="4">
        <v>76.0</v>
      </c>
      <c r="B77" s="5">
        <v>45089.0</v>
      </c>
      <c r="C77" s="1">
        <v>30126.21</v>
      </c>
      <c r="D77" s="2">
        <v>-17845.1466507081</v>
      </c>
      <c r="E77" s="2">
        <v>0.0</v>
      </c>
      <c r="F77" s="2">
        <v>11135.9048738376</v>
      </c>
      <c r="G77" s="3">
        <v>0.0</v>
      </c>
      <c r="H77" s="3">
        <v>4670.44295392314</v>
      </c>
      <c r="I77" s="3">
        <v>8068.56071567253</v>
      </c>
      <c r="J77" s="3">
        <v>3858.52699468436</v>
      </c>
      <c r="K77" s="3">
        <v>845.134967777736</v>
      </c>
      <c r="L77" s="3">
        <v>0.0</v>
      </c>
      <c r="M77" s="3">
        <v>0.0</v>
      </c>
      <c r="N77" s="3">
        <v>1327.93829486266</v>
      </c>
      <c r="O77" s="3">
        <v>714.367506574754</v>
      </c>
      <c r="P77" s="3">
        <v>5150.49882811142</v>
      </c>
      <c r="Q77" s="3">
        <v>11975.3895870843</v>
      </c>
      <c r="R77" s="3">
        <v>882.442714716124</v>
      </c>
      <c r="S77" s="3">
        <v>2.1171186215638</v>
      </c>
      <c r="T77" s="3">
        <v>0.0</v>
      </c>
      <c r="U77" s="3">
        <v>240.9373534474</v>
      </c>
      <c r="V77" s="3">
        <v>0.0</v>
      </c>
      <c r="W77" s="3">
        <v>2223.43045150437</v>
      </c>
      <c r="X77" s="3">
        <v>1734.42222833534</v>
      </c>
      <c r="Y77" s="3">
        <v>0.0</v>
      </c>
      <c r="Z77" s="2">
        <v>0.0</v>
      </c>
      <c r="AA77" s="1">
        <v>34984.9679384452</v>
      </c>
      <c r="AB77" s="2" t="s">
        <v>29</v>
      </c>
      <c r="AC77" s="2">
        <v>1.0</v>
      </c>
      <c r="AD77" s="2" t="b">
        <v>1</v>
      </c>
      <c r="AE77" s="1">
        <v>30126.21</v>
      </c>
      <c r="AF77" s="6">
        <f t="shared" si="1"/>
        <v>-0.1388813032</v>
      </c>
    </row>
    <row r="78">
      <c r="A78" s="4">
        <v>77.0</v>
      </c>
      <c r="B78" s="5">
        <v>45096.0</v>
      </c>
      <c r="C78" s="1">
        <v>23882.73</v>
      </c>
      <c r="D78" s="2">
        <v>-14988.4760539932</v>
      </c>
      <c r="E78" s="2">
        <v>0.0</v>
      </c>
      <c r="F78" s="2">
        <v>11129.338581658</v>
      </c>
      <c r="G78" s="3">
        <v>438.976882654226</v>
      </c>
      <c r="H78" s="3">
        <v>0.0</v>
      </c>
      <c r="I78" s="3">
        <v>8048.26633522177</v>
      </c>
      <c r="J78" s="3">
        <v>3402.15785343436</v>
      </c>
      <c r="K78" s="3">
        <v>659.728383756337</v>
      </c>
      <c r="L78" s="3">
        <v>0.0</v>
      </c>
      <c r="M78" s="3">
        <v>0.0</v>
      </c>
      <c r="N78" s="3">
        <v>2541.34102588724</v>
      </c>
      <c r="O78" s="3">
        <v>681.290055666073</v>
      </c>
      <c r="P78" s="3">
        <v>5190.65673046201</v>
      </c>
      <c r="Q78" s="3">
        <v>12111.0078065975</v>
      </c>
      <c r="R78" s="3">
        <v>843.06326127674</v>
      </c>
      <c r="S78" s="3">
        <v>1.34966570965742</v>
      </c>
      <c r="T78" s="3">
        <v>0.0</v>
      </c>
      <c r="U78" s="3">
        <v>8188.38172183548</v>
      </c>
      <c r="V78" s="3">
        <v>0.0</v>
      </c>
      <c r="W78" s="3">
        <v>397.769479326767</v>
      </c>
      <c r="X78" s="3">
        <v>361.093244385462</v>
      </c>
      <c r="Y78" s="3">
        <v>0.0</v>
      </c>
      <c r="Z78" s="2">
        <v>0.0</v>
      </c>
      <c r="AA78" s="1">
        <v>39005.9449738784</v>
      </c>
      <c r="AB78" s="2" t="s">
        <v>29</v>
      </c>
      <c r="AC78" s="2">
        <v>1.0</v>
      </c>
      <c r="AD78" s="2" t="b">
        <v>1</v>
      </c>
      <c r="AE78" s="1">
        <v>23882.73</v>
      </c>
      <c r="AF78" s="6">
        <f t="shared" si="1"/>
        <v>-0.3877156414</v>
      </c>
    </row>
    <row r="79">
      <c r="A79" s="4">
        <v>78.0</v>
      </c>
      <c r="B79" s="5">
        <v>45103.0</v>
      </c>
      <c r="C79" s="1">
        <v>35567.14</v>
      </c>
      <c r="D79" s="2">
        <v>-10781.6543710135</v>
      </c>
      <c r="E79" s="2">
        <v>0.0</v>
      </c>
      <c r="F79" s="2">
        <v>11122.7722894784</v>
      </c>
      <c r="G79" s="3">
        <v>438.976882654226</v>
      </c>
      <c r="H79" s="3">
        <v>4670.44295392314</v>
      </c>
      <c r="I79" s="3">
        <v>8063.86616211013</v>
      </c>
      <c r="J79" s="3">
        <v>4452.11061510805</v>
      </c>
      <c r="K79" s="3">
        <v>655.823257291087</v>
      </c>
      <c r="L79" s="3">
        <v>0.0</v>
      </c>
      <c r="M79" s="3">
        <v>0.0</v>
      </c>
      <c r="N79" s="3">
        <v>1570.15202749273</v>
      </c>
      <c r="O79" s="3">
        <v>516.200986520488</v>
      </c>
      <c r="P79" s="3">
        <v>5409.89983797959</v>
      </c>
      <c r="Q79" s="3">
        <v>12976.7775340818</v>
      </c>
      <c r="R79" s="3">
        <v>976.261652152113</v>
      </c>
      <c r="S79" s="3">
        <v>0.85483570438661</v>
      </c>
      <c r="T79" s="3">
        <v>0.0</v>
      </c>
      <c r="U79" s="3">
        <v>8907.78419480823</v>
      </c>
      <c r="V79" s="3">
        <v>0.0</v>
      </c>
      <c r="W79" s="3">
        <v>27.161976625639</v>
      </c>
      <c r="X79" s="3">
        <v>3156.6931608087</v>
      </c>
      <c r="Y79" s="3">
        <v>0.0</v>
      </c>
      <c r="Z79" s="2">
        <v>0.0</v>
      </c>
      <c r="AA79" s="1">
        <v>52164.1239957252</v>
      </c>
      <c r="AB79" s="2" t="s">
        <v>29</v>
      </c>
      <c r="AC79" s="2">
        <v>1.0</v>
      </c>
      <c r="AD79" s="2" t="b">
        <v>1</v>
      </c>
      <c r="AE79" s="1">
        <v>35567.14</v>
      </c>
      <c r="AF79" s="6">
        <f t="shared" si="1"/>
        <v>-0.3181685558</v>
      </c>
    </row>
    <row r="80">
      <c r="A80" s="4">
        <v>79.0</v>
      </c>
      <c r="B80" s="5">
        <v>45110.0</v>
      </c>
      <c r="C80" s="1">
        <v>51566.69</v>
      </c>
      <c r="D80" s="2">
        <v>-5980.27223754664</v>
      </c>
      <c r="E80" s="2">
        <v>0.0</v>
      </c>
      <c r="F80" s="2">
        <v>11116.2059972988</v>
      </c>
      <c r="G80" s="3">
        <v>0.0</v>
      </c>
      <c r="H80" s="3">
        <v>0.0</v>
      </c>
      <c r="I80" s="3">
        <v>8219.30776753509</v>
      </c>
      <c r="J80" s="3">
        <v>5350.22919179624</v>
      </c>
      <c r="K80" s="3">
        <v>2715.89472333526</v>
      </c>
      <c r="L80" s="3">
        <v>0.0</v>
      </c>
      <c r="M80" s="3">
        <v>0.0</v>
      </c>
      <c r="N80" s="3">
        <v>2381.36512699807</v>
      </c>
      <c r="O80" s="3">
        <v>701.352758202836</v>
      </c>
      <c r="P80" s="3">
        <v>5715.22173260748</v>
      </c>
      <c r="Q80" s="3">
        <v>14883.7410250461</v>
      </c>
      <c r="R80" s="3">
        <v>1038.26542307616</v>
      </c>
      <c r="S80" s="3">
        <v>0.538008319648536</v>
      </c>
      <c r="T80" s="3">
        <v>0.0</v>
      </c>
      <c r="U80" s="3">
        <v>14475.1846418881</v>
      </c>
      <c r="V80" s="3">
        <v>0.0</v>
      </c>
      <c r="W80" s="3">
        <v>0.705352849804221</v>
      </c>
      <c r="X80" s="3">
        <v>1882.49309627842</v>
      </c>
      <c r="Y80" s="3">
        <v>0.0</v>
      </c>
      <c r="Z80" s="2">
        <v>0.0</v>
      </c>
      <c r="AA80" s="1">
        <v>62500.2326076853</v>
      </c>
      <c r="AB80" s="2" t="s">
        <v>29</v>
      </c>
      <c r="AC80" s="2">
        <v>1.0</v>
      </c>
      <c r="AD80" s="2" t="b">
        <v>1</v>
      </c>
      <c r="AE80" s="1">
        <v>51566.69</v>
      </c>
      <c r="AF80" s="6">
        <f t="shared" si="1"/>
        <v>-0.1749360307</v>
      </c>
    </row>
    <row r="81">
      <c r="A81" s="4">
        <v>80.0</v>
      </c>
      <c r="B81" s="5">
        <v>45117.0</v>
      </c>
      <c r="C81" s="1">
        <v>42699.58</v>
      </c>
      <c r="D81" s="2">
        <v>-638.421135485025</v>
      </c>
      <c r="E81" s="2">
        <v>0.0</v>
      </c>
      <c r="F81" s="2">
        <v>11109.6397051192</v>
      </c>
      <c r="G81" s="3">
        <v>0.0</v>
      </c>
      <c r="H81" s="3">
        <v>0.0</v>
      </c>
      <c r="I81" s="3">
        <v>8406.16537757701</v>
      </c>
      <c r="J81" s="3">
        <v>5781.75822217907</v>
      </c>
      <c r="K81" s="3">
        <v>3709.60693702221</v>
      </c>
      <c r="L81" s="3">
        <v>0.0</v>
      </c>
      <c r="M81" s="3">
        <v>0.0</v>
      </c>
      <c r="N81" s="3">
        <v>1377.20778210341</v>
      </c>
      <c r="O81" s="3">
        <v>1701.31784313106</v>
      </c>
      <c r="P81" s="3">
        <v>5743.57593729668</v>
      </c>
      <c r="Q81" s="3">
        <v>14644.6035663379</v>
      </c>
      <c r="R81" s="3">
        <v>1118.1430736075</v>
      </c>
      <c r="S81" s="3">
        <v>0.336522823038437</v>
      </c>
      <c r="T81" s="3">
        <v>0.0</v>
      </c>
      <c r="U81" s="3">
        <v>14565.807519269</v>
      </c>
      <c r="V81" s="3">
        <v>0.0</v>
      </c>
      <c r="W81" s="3">
        <v>0.00646370061694737</v>
      </c>
      <c r="X81" s="3">
        <v>378.931132304496</v>
      </c>
      <c r="Y81" s="3">
        <v>0.0</v>
      </c>
      <c r="Z81" s="2">
        <v>0.0</v>
      </c>
      <c r="AA81" s="1">
        <v>67898.6789469861</v>
      </c>
      <c r="AB81" s="2" t="s">
        <v>29</v>
      </c>
      <c r="AC81" s="2">
        <v>1.0</v>
      </c>
      <c r="AD81" s="2" t="b">
        <v>1</v>
      </c>
      <c r="AE81" s="1">
        <v>42699.58</v>
      </c>
      <c r="AF81" s="6">
        <f t="shared" si="1"/>
        <v>-0.3711279709</v>
      </c>
    </row>
    <row r="82">
      <c r="A82" s="4">
        <v>81.0</v>
      </c>
      <c r="B82" s="5">
        <v>45124.0</v>
      </c>
      <c r="C82" s="1">
        <v>91621.96</v>
      </c>
      <c r="D82" s="2">
        <v>5646.87905280281</v>
      </c>
      <c r="E82" s="2">
        <v>0.0</v>
      </c>
      <c r="F82" s="2">
        <v>11103.0734129396</v>
      </c>
      <c r="G82" s="3">
        <v>0.0</v>
      </c>
      <c r="H82" s="3">
        <v>0.0</v>
      </c>
      <c r="I82" s="3">
        <v>8472.18851401395</v>
      </c>
      <c r="J82" s="3">
        <v>5829.76357539054</v>
      </c>
      <c r="K82" s="3">
        <v>3720.45237267123</v>
      </c>
      <c r="L82" s="3">
        <v>0.0</v>
      </c>
      <c r="M82" s="3">
        <v>0.0</v>
      </c>
      <c r="N82" s="3">
        <v>1067.18749793123</v>
      </c>
      <c r="O82" s="3">
        <v>1895.62904786168</v>
      </c>
      <c r="P82" s="3">
        <v>6002.03392231079</v>
      </c>
      <c r="Q82" s="3">
        <v>15234.5553408776</v>
      </c>
      <c r="R82" s="3">
        <v>1194.98155600356</v>
      </c>
      <c r="S82" s="3">
        <v>0.20923002274872</v>
      </c>
      <c r="T82" s="3">
        <v>0.0</v>
      </c>
      <c r="U82" s="3">
        <v>21909.3625434169</v>
      </c>
      <c r="V82" s="3">
        <v>0.0</v>
      </c>
      <c r="W82" s="7">
        <v>1.90177306250139E-5</v>
      </c>
      <c r="X82" s="3">
        <v>29.7761031549414</v>
      </c>
      <c r="Y82" s="3">
        <v>0.0</v>
      </c>
      <c r="Z82" s="2">
        <v>0.0</v>
      </c>
      <c r="AA82" s="1">
        <v>82106.0921884153</v>
      </c>
      <c r="AB82" s="2" t="s">
        <v>29</v>
      </c>
      <c r="AC82" s="2">
        <v>1.0</v>
      </c>
      <c r="AD82" s="2" t="b">
        <v>1</v>
      </c>
      <c r="AE82" s="1">
        <v>91621.96</v>
      </c>
      <c r="AF82" s="6">
        <f t="shared" si="1"/>
        <v>0.1158972198</v>
      </c>
    </row>
    <row r="83">
      <c r="A83" s="4">
        <v>82.0</v>
      </c>
      <c r="B83" s="5">
        <v>45131.0</v>
      </c>
      <c r="C83" s="1">
        <v>72275.17</v>
      </c>
      <c r="D83" s="2">
        <v>12127.2722284129</v>
      </c>
      <c r="E83" s="2">
        <v>0.0</v>
      </c>
      <c r="F83" s="2">
        <v>11096.50712076</v>
      </c>
      <c r="G83" s="3">
        <v>438.976882654226</v>
      </c>
      <c r="H83" s="3">
        <v>0.0</v>
      </c>
      <c r="I83" s="3">
        <v>8451.06271586618</v>
      </c>
      <c r="J83" s="3">
        <v>5639.72525856948</v>
      </c>
      <c r="K83" s="3">
        <v>3759.90024571853</v>
      </c>
      <c r="L83" s="3">
        <v>0.0</v>
      </c>
      <c r="M83" s="3">
        <v>0.0</v>
      </c>
      <c r="N83" s="3">
        <v>186.86127221355</v>
      </c>
      <c r="O83" s="3">
        <v>1342.01192074177</v>
      </c>
      <c r="P83" s="3">
        <v>5134.11491152864</v>
      </c>
      <c r="Q83" s="3">
        <v>10626.1929636909</v>
      </c>
      <c r="R83" s="3">
        <v>1079.84274871315</v>
      </c>
      <c r="S83" s="3">
        <v>0.129323713000284</v>
      </c>
      <c r="T83" s="3">
        <v>0.0</v>
      </c>
      <c r="U83" s="3">
        <v>22123.8144763753</v>
      </c>
      <c r="V83" s="3">
        <v>0.0</v>
      </c>
      <c r="W83" s="7">
        <v>1.6361671491597E-8</v>
      </c>
      <c r="X83" s="3">
        <v>1.11705924303766</v>
      </c>
      <c r="Y83" s="3">
        <v>0.0</v>
      </c>
      <c r="Z83" s="2">
        <v>0.0</v>
      </c>
      <c r="AA83" s="1">
        <v>82007.529128217</v>
      </c>
      <c r="AB83" s="2" t="s">
        <v>29</v>
      </c>
      <c r="AC83" s="2">
        <v>1.0</v>
      </c>
      <c r="AD83" s="2" t="b">
        <v>1</v>
      </c>
      <c r="AE83" s="1">
        <v>72275.17</v>
      </c>
      <c r="AF83" s="6">
        <f t="shared" si="1"/>
        <v>-0.1186764097</v>
      </c>
    </row>
    <row r="84">
      <c r="A84" s="4">
        <v>83.0</v>
      </c>
      <c r="B84" s="5">
        <v>45138.0</v>
      </c>
      <c r="C84" s="1">
        <v>93278.86</v>
      </c>
      <c r="D84" s="2">
        <v>16185.3233414263</v>
      </c>
      <c r="E84" s="2">
        <v>0.0</v>
      </c>
      <c r="F84" s="2">
        <v>11089.9408285804</v>
      </c>
      <c r="G84" s="3">
        <v>438.976882654226</v>
      </c>
      <c r="H84" s="3">
        <v>0.0</v>
      </c>
      <c r="I84" s="3">
        <v>8513.86313357273</v>
      </c>
      <c r="J84" s="3">
        <v>5277.05434603899</v>
      </c>
      <c r="K84" s="3">
        <v>2844.23795720412</v>
      </c>
      <c r="L84" s="3">
        <v>0.0</v>
      </c>
      <c r="M84" s="3">
        <v>0.0</v>
      </c>
      <c r="N84" s="3">
        <v>318.45763229406</v>
      </c>
      <c r="O84" s="3">
        <v>1911.80234149406</v>
      </c>
      <c r="P84" s="3">
        <v>5928.91201417164</v>
      </c>
      <c r="Q84" s="3">
        <v>15614.5789961268</v>
      </c>
      <c r="R84" s="3">
        <v>1368.65092904882</v>
      </c>
      <c r="S84" s="3">
        <v>0.0794756641548141</v>
      </c>
      <c r="T84" s="3">
        <v>0.0</v>
      </c>
      <c r="U84" s="3">
        <v>13213.2328550661</v>
      </c>
      <c r="V84" s="3">
        <v>0.0</v>
      </c>
      <c r="W84" s="7">
        <v>3.75832492542092E-12</v>
      </c>
      <c r="X84" s="3">
        <v>0.0219995429576569</v>
      </c>
      <c r="Y84" s="3">
        <v>0.0</v>
      </c>
      <c r="Z84" s="2">
        <v>0.0</v>
      </c>
      <c r="AA84" s="1">
        <v>82705.1327328854</v>
      </c>
      <c r="AB84" s="2" t="s">
        <v>29</v>
      </c>
      <c r="AC84" s="2">
        <v>1.0</v>
      </c>
      <c r="AD84" s="2" t="b">
        <v>1</v>
      </c>
      <c r="AE84" s="1">
        <v>93278.86</v>
      </c>
      <c r="AF84" s="6">
        <f t="shared" si="1"/>
        <v>0.1278485013</v>
      </c>
    </row>
    <row r="85">
      <c r="A85" s="4">
        <v>84.0</v>
      </c>
      <c r="B85" s="5">
        <v>45145.0</v>
      </c>
      <c r="C85" s="1">
        <v>70671.81</v>
      </c>
      <c r="D85" s="2">
        <v>15185.9490578718</v>
      </c>
      <c r="E85" s="2">
        <v>0.0</v>
      </c>
      <c r="F85" s="2">
        <v>11083.3745364008</v>
      </c>
      <c r="G85" s="3">
        <v>0.0</v>
      </c>
      <c r="H85" s="3">
        <v>0.0</v>
      </c>
      <c r="I85" s="3">
        <v>8673.49445909782</v>
      </c>
      <c r="J85" s="3">
        <v>4730.96641440356</v>
      </c>
      <c r="K85" s="3">
        <v>1923.31725626867</v>
      </c>
      <c r="L85" s="3">
        <v>0.0</v>
      </c>
      <c r="M85" s="3">
        <v>0.0</v>
      </c>
      <c r="N85" s="3">
        <v>360.903243903865</v>
      </c>
      <c r="O85" s="3">
        <v>2446.74504030766</v>
      </c>
      <c r="P85" s="3">
        <v>5730.14741177638</v>
      </c>
      <c r="Q85" s="3">
        <v>15839.0102515781</v>
      </c>
      <c r="R85" s="3">
        <v>1519.27613633577</v>
      </c>
      <c r="S85" s="3">
        <v>0.0485675209535781</v>
      </c>
      <c r="T85" s="3">
        <v>0.0</v>
      </c>
      <c r="U85" s="3">
        <v>7552.79601692916</v>
      </c>
      <c r="V85" s="3">
        <v>0.0</v>
      </c>
      <c r="W85" s="3">
        <v>6013.86393365875</v>
      </c>
      <c r="X85" s="3">
        <v>2.38916074511235E-4</v>
      </c>
      <c r="Y85" s="3">
        <v>0.0</v>
      </c>
      <c r="Z85" s="2">
        <v>0.0</v>
      </c>
      <c r="AA85" s="1">
        <v>81059.8925649693</v>
      </c>
      <c r="AB85" s="2" t="s">
        <v>29</v>
      </c>
      <c r="AC85" s="2">
        <v>1.0</v>
      </c>
      <c r="AD85" s="2" t="b">
        <v>1</v>
      </c>
      <c r="AE85" s="1">
        <v>70671.81</v>
      </c>
      <c r="AF85" s="6">
        <f t="shared" si="1"/>
        <v>-0.1281531746</v>
      </c>
    </row>
    <row r="86">
      <c r="A86" s="4">
        <v>85.0</v>
      </c>
      <c r="B86" s="5">
        <v>45152.0</v>
      </c>
      <c r="C86" s="1">
        <v>49980.83</v>
      </c>
      <c r="D86" s="2">
        <v>9218.47454864734</v>
      </c>
      <c r="E86" s="2">
        <v>-6801.2143485767</v>
      </c>
      <c r="F86" s="2">
        <v>11076.8082442212</v>
      </c>
      <c r="G86" s="3">
        <v>0.0</v>
      </c>
      <c r="H86" s="3">
        <v>0.0</v>
      </c>
      <c r="I86" s="3">
        <v>8756.06620388744</v>
      </c>
      <c r="J86" s="3">
        <v>4036.62904785209</v>
      </c>
      <c r="K86" s="3">
        <v>1902.104065284</v>
      </c>
      <c r="L86" s="3">
        <v>0.0</v>
      </c>
      <c r="M86" s="3">
        <v>0.0</v>
      </c>
      <c r="N86" s="3">
        <v>799.548113975986</v>
      </c>
      <c r="O86" s="3">
        <v>2624.21394591153</v>
      </c>
      <c r="P86" s="3">
        <v>5485.35877130375</v>
      </c>
      <c r="Q86" s="3">
        <v>14413.381416623</v>
      </c>
      <c r="R86" s="3">
        <v>1458.61303728704</v>
      </c>
      <c r="S86" s="3">
        <v>0.0295164749990557</v>
      </c>
      <c r="T86" s="3">
        <v>0.0</v>
      </c>
      <c r="U86" s="3">
        <v>6787.35599501964</v>
      </c>
      <c r="V86" s="3">
        <v>0.0</v>
      </c>
      <c r="W86" s="3">
        <v>6425.3578836054</v>
      </c>
      <c r="X86" s="7">
        <v>1.48096318782997E-6</v>
      </c>
      <c r="Y86" s="3">
        <v>0.0</v>
      </c>
      <c r="Z86" s="2">
        <v>0.0</v>
      </c>
      <c r="AA86" s="1">
        <v>66182.7264429976</v>
      </c>
      <c r="AB86" s="2" t="s">
        <v>29</v>
      </c>
      <c r="AC86" s="2">
        <v>1.0</v>
      </c>
      <c r="AD86" s="2" t="b">
        <v>1</v>
      </c>
      <c r="AE86" s="1">
        <v>49980.83</v>
      </c>
      <c r="AF86" s="6">
        <f t="shared" si="1"/>
        <v>-0.2448055152</v>
      </c>
    </row>
    <row r="87">
      <c r="A87" s="4">
        <v>86.0</v>
      </c>
      <c r="B87" s="5">
        <v>45159.0</v>
      </c>
      <c r="C87" s="1">
        <v>59430.1</v>
      </c>
      <c r="D87" s="2">
        <v>1337.55569901121</v>
      </c>
      <c r="E87" s="2">
        <v>0.0</v>
      </c>
      <c r="F87" s="2">
        <v>11070.2419520416</v>
      </c>
      <c r="G87" s="3">
        <v>0.0</v>
      </c>
      <c r="H87" s="3">
        <v>0.0</v>
      </c>
      <c r="I87" s="3">
        <v>8774.74698936362</v>
      </c>
      <c r="J87" s="3">
        <v>3243.82104531071</v>
      </c>
      <c r="K87" s="3">
        <v>1887.42913914129</v>
      </c>
      <c r="L87" s="3">
        <v>0.0</v>
      </c>
      <c r="M87" s="3">
        <v>0.0</v>
      </c>
      <c r="N87" s="3">
        <v>526.956859094866</v>
      </c>
      <c r="O87" s="3">
        <v>2956.78832565104</v>
      </c>
      <c r="P87" s="3">
        <v>5540.56621222898</v>
      </c>
      <c r="Q87" s="3">
        <v>14475.3818219023</v>
      </c>
      <c r="R87" s="3">
        <v>1440.58010362559</v>
      </c>
      <c r="S87" s="3">
        <v>0.0178417803256859</v>
      </c>
      <c r="T87" s="3">
        <v>0.0</v>
      </c>
      <c r="U87" s="3">
        <v>18376.0547380081</v>
      </c>
      <c r="V87" s="3">
        <v>0.0</v>
      </c>
      <c r="W87" s="3">
        <v>4841.12446503489</v>
      </c>
      <c r="X87" s="7">
        <v>5.38113956499383E-9</v>
      </c>
      <c r="Y87" s="3">
        <v>0.0</v>
      </c>
      <c r="Z87" s="2">
        <v>0.0</v>
      </c>
      <c r="AA87" s="1">
        <v>74471.2651921999</v>
      </c>
      <c r="AB87" s="2" t="s">
        <v>29</v>
      </c>
      <c r="AC87" s="2">
        <v>1.0</v>
      </c>
      <c r="AD87" s="2" t="b">
        <v>1</v>
      </c>
      <c r="AE87" s="1">
        <v>59430.1</v>
      </c>
      <c r="AF87" s="6">
        <f t="shared" si="1"/>
        <v>-0.2019727361</v>
      </c>
    </row>
    <row r="88">
      <c r="A88" s="4">
        <v>87.0</v>
      </c>
      <c r="B88" s="5">
        <v>45166.0</v>
      </c>
      <c r="C88" s="1">
        <v>71966.5</v>
      </c>
      <c r="D88" s="2">
        <v>-5322.125333365</v>
      </c>
      <c r="E88" s="2">
        <v>0.0</v>
      </c>
      <c r="F88" s="2">
        <v>11063.675659862</v>
      </c>
      <c r="G88" s="3">
        <v>0.0</v>
      </c>
      <c r="H88" s="3">
        <v>0.0</v>
      </c>
      <c r="I88" s="3">
        <v>8673.39407865351</v>
      </c>
      <c r="J88" s="3">
        <v>2425.86445956838</v>
      </c>
      <c r="K88" s="3">
        <v>295.554268512789</v>
      </c>
      <c r="L88" s="3">
        <v>0.0</v>
      </c>
      <c r="M88" s="3">
        <v>0.0</v>
      </c>
      <c r="N88" s="3">
        <v>203.075396654003</v>
      </c>
      <c r="O88" s="3">
        <v>2836.95284916497</v>
      </c>
      <c r="P88" s="3">
        <v>4070.55696345033</v>
      </c>
      <c r="Q88" s="3">
        <v>6835.67586300746</v>
      </c>
      <c r="R88" s="3">
        <v>1283.33477335093</v>
      </c>
      <c r="S88" s="3">
        <v>0.0107278565177696</v>
      </c>
      <c r="T88" s="3">
        <v>0.0</v>
      </c>
      <c r="U88" s="3">
        <v>19456.032600702</v>
      </c>
      <c r="V88" s="3">
        <v>0.0</v>
      </c>
      <c r="W88" s="3">
        <v>2064.41160406589</v>
      </c>
      <c r="X88" s="7">
        <v>1.17099076913502E-11</v>
      </c>
      <c r="Y88" s="3">
        <v>0.0</v>
      </c>
      <c r="Z88" s="2">
        <v>0.0</v>
      </c>
      <c r="AA88" s="1">
        <v>53886.4139114838</v>
      </c>
      <c r="AB88" s="2" t="s">
        <v>29</v>
      </c>
      <c r="AC88" s="2">
        <v>1.0</v>
      </c>
      <c r="AD88" s="2" t="b">
        <v>1</v>
      </c>
      <c r="AE88" s="1">
        <v>71966.5</v>
      </c>
      <c r="AF88" s="6">
        <f t="shared" si="1"/>
        <v>0.3355221618</v>
      </c>
    </row>
    <row r="89">
      <c r="A89" s="4">
        <v>88.0</v>
      </c>
      <c r="B89" s="5">
        <v>45173.0</v>
      </c>
      <c r="C89" s="1">
        <v>46603.13</v>
      </c>
      <c r="D89" s="2">
        <v>-10130.097487641</v>
      </c>
      <c r="E89" s="2">
        <v>0.0</v>
      </c>
      <c r="F89" s="2">
        <v>11057.1093676824</v>
      </c>
      <c r="G89" s="3">
        <v>0.0</v>
      </c>
      <c r="H89" s="3">
        <v>0.0</v>
      </c>
      <c r="I89" s="3">
        <v>8375.75307401283</v>
      </c>
      <c r="J89" s="3">
        <v>1670.05283236143</v>
      </c>
      <c r="K89" s="3">
        <v>714.53506727471</v>
      </c>
      <c r="L89" s="3">
        <v>0.0</v>
      </c>
      <c r="M89" s="3">
        <v>0.0</v>
      </c>
      <c r="N89" s="3">
        <v>243.02785113125</v>
      </c>
      <c r="O89" s="3">
        <v>2732.69834110403</v>
      </c>
      <c r="P89" s="3">
        <v>4605.64418674964</v>
      </c>
      <c r="Q89" s="3">
        <v>12011.4618870405</v>
      </c>
      <c r="R89" s="3">
        <v>1170.62667560522</v>
      </c>
      <c r="S89" s="3">
        <v>0.0064170066867661</v>
      </c>
      <c r="T89" s="3">
        <v>0.0</v>
      </c>
      <c r="U89" s="3">
        <v>0.249474285957822</v>
      </c>
      <c r="V89" s="3">
        <v>0.0</v>
      </c>
      <c r="W89" s="3">
        <v>365.027340460651</v>
      </c>
      <c r="X89" s="7">
        <v>1.5535304849246E-14</v>
      </c>
      <c r="Y89" s="3">
        <v>0.0</v>
      </c>
      <c r="Z89" s="2">
        <v>0.0</v>
      </c>
      <c r="AA89" s="1">
        <v>32816.0950270742</v>
      </c>
      <c r="AB89" s="2" t="s">
        <v>29</v>
      </c>
      <c r="AC89" s="2">
        <v>1.0</v>
      </c>
      <c r="AD89" s="2" t="b">
        <v>1</v>
      </c>
      <c r="AE89" s="1">
        <v>46603.13</v>
      </c>
      <c r="AF89" s="6">
        <f t="shared" si="1"/>
        <v>0.4201302733</v>
      </c>
    </row>
    <row r="90">
      <c r="A90" s="4">
        <v>89.0</v>
      </c>
      <c r="B90" s="5">
        <v>45180.0</v>
      </c>
      <c r="C90" s="1">
        <v>41864.89</v>
      </c>
      <c r="D90" s="2">
        <v>-14032.2134457371</v>
      </c>
      <c r="E90" s="2">
        <v>0.0</v>
      </c>
      <c r="F90" s="2">
        <v>11050.5430755028</v>
      </c>
      <c r="G90" s="3">
        <v>0.0</v>
      </c>
      <c r="H90" s="3">
        <v>0.0</v>
      </c>
      <c r="I90" s="3">
        <v>8101.37861121526</v>
      </c>
      <c r="J90" s="3">
        <v>1050.00663424865</v>
      </c>
      <c r="K90" s="3">
        <v>1502.39922865611</v>
      </c>
      <c r="L90" s="3">
        <v>0.0</v>
      </c>
      <c r="M90" s="3">
        <v>0.0</v>
      </c>
      <c r="N90" s="3">
        <v>181.040122868546</v>
      </c>
      <c r="O90" s="3">
        <v>3316.56398931564</v>
      </c>
      <c r="P90" s="3">
        <v>4605.06966738476</v>
      </c>
      <c r="Q90" s="3">
        <v>12272.6200498535</v>
      </c>
      <c r="R90" s="3">
        <v>1082.71710195973</v>
      </c>
      <c r="S90" s="3">
        <v>0.003818901278452</v>
      </c>
      <c r="T90" s="3">
        <v>0.0</v>
      </c>
      <c r="U90" s="7">
        <v>2.03059627174717E-16</v>
      </c>
      <c r="V90" s="3">
        <v>0.0</v>
      </c>
      <c r="W90" s="3">
        <v>24.8674657481977</v>
      </c>
      <c r="X90" s="3">
        <v>6722.552669444</v>
      </c>
      <c r="Y90" s="3">
        <v>0.0</v>
      </c>
      <c r="Z90" s="2">
        <v>0.0</v>
      </c>
      <c r="AA90" s="1">
        <v>35877.5489893613</v>
      </c>
      <c r="AB90" s="2" t="s">
        <v>29</v>
      </c>
      <c r="AC90" s="2">
        <v>1.0</v>
      </c>
      <c r="AD90" s="2" t="b">
        <v>1</v>
      </c>
      <c r="AE90" s="1">
        <v>41864.89</v>
      </c>
      <c r="AF90" s="6">
        <f t="shared" si="1"/>
        <v>0.1668826656</v>
      </c>
    </row>
    <row r="91">
      <c r="A91" s="4">
        <v>90.0</v>
      </c>
      <c r="B91" s="5">
        <v>45187.0</v>
      </c>
      <c r="C91" s="1">
        <v>41632.65</v>
      </c>
      <c r="D91" s="2">
        <v>-16653.6318500117</v>
      </c>
      <c r="E91" s="2">
        <v>0.0</v>
      </c>
      <c r="F91" s="2">
        <v>11043.9767833232</v>
      </c>
      <c r="G91" s="3">
        <v>0.0</v>
      </c>
      <c r="H91" s="3">
        <v>0.0</v>
      </c>
      <c r="I91" s="3">
        <v>8012.73243786454</v>
      </c>
      <c r="J91" s="3">
        <v>600.243243365407</v>
      </c>
      <c r="K91" s="3">
        <v>594.155216460044</v>
      </c>
      <c r="L91" s="3">
        <v>0.0</v>
      </c>
      <c r="M91" s="3">
        <v>0.0</v>
      </c>
      <c r="N91" s="3">
        <v>699.742721306604</v>
      </c>
      <c r="O91" s="3">
        <v>3444.31748276956</v>
      </c>
      <c r="P91" s="3">
        <v>4688.50018285064</v>
      </c>
      <c r="Q91" s="3">
        <v>11587.8298262783</v>
      </c>
      <c r="R91" s="3">
        <v>1117.49915071239</v>
      </c>
      <c r="S91" s="3">
        <v>0.00226136418073419</v>
      </c>
      <c r="T91" s="3">
        <v>0.0</v>
      </c>
      <c r="U91" s="3">
        <v>5905.00850373433</v>
      </c>
      <c r="V91" s="3">
        <v>0.0</v>
      </c>
      <c r="W91" s="3">
        <v>6346.04676980694</v>
      </c>
      <c r="X91" s="3">
        <v>8479.53253931573</v>
      </c>
      <c r="Y91" s="3">
        <v>0.0</v>
      </c>
      <c r="Z91" s="2">
        <v>0.0</v>
      </c>
      <c r="AA91" s="1">
        <v>45865.9552691401</v>
      </c>
      <c r="AB91" s="2" t="s">
        <v>29</v>
      </c>
      <c r="AC91" s="2">
        <v>1.0</v>
      </c>
      <c r="AD91" s="2" t="b">
        <v>1</v>
      </c>
      <c r="AE91" s="1">
        <v>41632.65</v>
      </c>
      <c r="AF91" s="6">
        <f t="shared" si="1"/>
        <v>-0.09229733131</v>
      </c>
    </row>
    <row r="92">
      <c r="A92" s="4">
        <v>91.0</v>
      </c>
      <c r="B92" s="5">
        <v>45194.0</v>
      </c>
      <c r="C92" s="1">
        <v>32723.04</v>
      </c>
      <c r="D92" s="2">
        <v>-16041.8902519581</v>
      </c>
      <c r="E92" s="2">
        <v>0.0</v>
      </c>
      <c r="F92" s="2">
        <v>11037.4104911436</v>
      </c>
      <c r="G92" s="3">
        <v>438.976882654226</v>
      </c>
      <c r="H92" s="3">
        <v>0.0</v>
      </c>
      <c r="I92" s="3">
        <v>7560.31858574986</v>
      </c>
      <c r="J92" s="3">
        <v>311.52026875733</v>
      </c>
      <c r="K92" s="3">
        <v>579.281834742141</v>
      </c>
      <c r="L92" s="3">
        <v>0.0</v>
      </c>
      <c r="M92" s="3">
        <v>0.0</v>
      </c>
      <c r="N92" s="3">
        <v>722.186086625851</v>
      </c>
      <c r="O92" s="3">
        <v>3016.78538154888</v>
      </c>
      <c r="P92" s="3">
        <v>4546.813567568</v>
      </c>
      <c r="Q92" s="3">
        <v>8672.97310451576</v>
      </c>
      <c r="R92" s="3">
        <v>1183.26705746264</v>
      </c>
      <c r="S92" s="3">
        <v>0.00133249838136039</v>
      </c>
      <c r="T92" s="3">
        <v>0.0</v>
      </c>
      <c r="U92" s="3">
        <v>1384.03045164968</v>
      </c>
      <c r="V92" s="3">
        <v>0.0</v>
      </c>
      <c r="W92" s="3">
        <v>6759.2521701794</v>
      </c>
      <c r="X92" s="3">
        <v>5308.0341604663</v>
      </c>
      <c r="Y92" s="3">
        <v>0.0</v>
      </c>
      <c r="Z92" s="2">
        <v>0.0</v>
      </c>
      <c r="AA92" s="1">
        <v>35478.961123604</v>
      </c>
      <c r="AB92" s="2" t="s">
        <v>29</v>
      </c>
      <c r="AC92" s="2">
        <v>1.0</v>
      </c>
      <c r="AD92" s="2" t="b">
        <v>1</v>
      </c>
      <c r="AE92" s="1">
        <v>32723.04</v>
      </c>
      <c r="AF92" s="6">
        <f t="shared" si="1"/>
        <v>-0.07767761615</v>
      </c>
    </row>
    <row r="93">
      <c r="A93" s="4">
        <v>92.0</v>
      </c>
      <c r="B93" s="5">
        <v>45201.0</v>
      </c>
      <c r="C93" s="1">
        <v>21952.17</v>
      </c>
      <c r="D93" s="2">
        <v>-12235.3419807692</v>
      </c>
      <c r="E93" s="2">
        <v>0.0</v>
      </c>
      <c r="F93" s="2">
        <v>11030.844198964</v>
      </c>
      <c r="G93" s="3">
        <v>438.976882654226</v>
      </c>
      <c r="H93" s="3">
        <v>0.0</v>
      </c>
      <c r="I93" s="3">
        <v>6389.37258504704</v>
      </c>
      <c r="J93" s="3">
        <v>146.804472079702</v>
      </c>
      <c r="K93" s="3">
        <v>69.8903668394523</v>
      </c>
      <c r="L93" s="3">
        <v>0.0</v>
      </c>
      <c r="M93" s="3">
        <v>0.0</v>
      </c>
      <c r="N93" s="3">
        <v>1374.06937782319</v>
      </c>
      <c r="O93" s="3">
        <v>2279.64976054196</v>
      </c>
      <c r="P93" s="3">
        <v>4157.00199557984</v>
      </c>
      <c r="Q93" s="3">
        <v>7888.00429032232</v>
      </c>
      <c r="R93" s="3">
        <v>1164.16887568493</v>
      </c>
      <c r="S93" s="3">
        <v>7.81381816391669E-4</v>
      </c>
      <c r="T93" s="3">
        <v>0.0</v>
      </c>
      <c r="U93" s="3">
        <v>0.0135970244712111</v>
      </c>
      <c r="V93" s="3">
        <v>0.0</v>
      </c>
      <c r="W93" s="3">
        <v>5154.20592071072</v>
      </c>
      <c r="X93" s="3">
        <v>1099.84714235661</v>
      </c>
      <c r="Y93" s="3">
        <v>0.0</v>
      </c>
      <c r="Z93" s="2">
        <v>0.0</v>
      </c>
      <c r="AA93" s="1">
        <v>28957.5082662411</v>
      </c>
      <c r="AB93" s="2" t="s">
        <v>29</v>
      </c>
      <c r="AC93" s="2">
        <v>1.0</v>
      </c>
      <c r="AD93" s="2" t="b">
        <v>1</v>
      </c>
      <c r="AE93" s="1">
        <v>21952.17</v>
      </c>
      <c r="AF93" s="6">
        <f t="shared" si="1"/>
        <v>-0.2419178543</v>
      </c>
    </row>
    <row r="94">
      <c r="A94" s="4">
        <v>93.0</v>
      </c>
      <c r="B94" s="5">
        <v>45208.0</v>
      </c>
      <c r="C94" s="1">
        <v>21341.26</v>
      </c>
      <c r="D94" s="2">
        <v>-9732.598544518</v>
      </c>
      <c r="E94" s="2">
        <v>0.0</v>
      </c>
      <c r="F94" s="2">
        <v>11024.2779067844</v>
      </c>
      <c r="G94" s="3">
        <v>0.0</v>
      </c>
      <c r="H94" s="3">
        <v>0.0</v>
      </c>
      <c r="I94" s="3">
        <v>4595.00457669873</v>
      </c>
      <c r="J94" s="3">
        <v>62.8557358652981</v>
      </c>
      <c r="K94" s="3">
        <v>0.0149757778753183</v>
      </c>
      <c r="L94" s="3">
        <v>0.0</v>
      </c>
      <c r="M94" s="3">
        <v>0.0</v>
      </c>
      <c r="N94" s="3">
        <v>1828.70168851039</v>
      </c>
      <c r="O94" s="3">
        <v>2412.29349769252</v>
      </c>
      <c r="P94" s="3">
        <v>3590.51678983356</v>
      </c>
      <c r="Q94" s="3">
        <v>7196.94089867942</v>
      </c>
      <c r="R94" s="3">
        <v>1048.84605536652</v>
      </c>
      <c r="S94" s="3">
        <v>4.5603180695741E-4</v>
      </c>
      <c r="T94" s="3">
        <v>0.0</v>
      </c>
      <c r="U94" s="3">
        <v>981.246693129651</v>
      </c>
      <c r="V94" s="3">
        <v>0.0</v>
      </c>
      <c r="W94" s="3">
        <v>6470.48148998582</v>
      </c>
      <c r="X94" s="3">
        <v>72.0028967571532</v>
      </c>
      <c r="Y94" s="3">
        <v>0.0</v>
      </c>
      <c r="Z94" s="2">
        <v>0.0</v>
      </c>
      <c r="AA94" s="1">
        <v>29550.5851165951</v>
      </c>
      <c r="AB94" s="2" t="s">
        <v>29</v>
      </c>
      <c r="AC94" s="2">
        <v>1.0</v>
      </c>
      <c r="AD94" s="2" t="b">
        <v>1</v>
      </c>
      <c r="AE94" s="1">
        <v>21341.26</v>
      </c>
      <c r="AF94" s="6">
        <f t="shared" si="1"/>
        <v>-0.2778058399</v>
      </c>
    </row>
    <row r="95">
      <c r="A95" s="4">
        <v>94.0</v>
      </c>
      <c r="B95" s="5">
        <v>45215.0</v>
      </c>
      <c r="C95" s="1">
        <v>36277.31</v>
      </c>
      <c r="D95" s="2">
        <v>-13710.080575319</v>
      </c>
      <c r="E95" s="2">
        <v>0.0</v>
      </c>
      <c r="F95" s="2">
        <v>11017.7116146048</v>
      </c>
      <c r="G95" s="3">
        <v>877.953765308453</v>
      </c>
      <c r="H95" s="3">
        <v>4670.44295392314</v>
      </c>
      <c r="I95" s="3">
        <v>2341.52652463321</v>
      </c>
      <c r="J95" s="3">
        <v>3173.93704901198</v>
      </c>
      <c r="K95" s="3">
        <v>1015.71048936475</v>
      </c>
      <c r="L95" s="3">
        <v>0.0</v>
      </c>
      <c r="M95" s="3">
        <v>0.0</v>
      </c>
      <c r="N95" s="3">
        <v>2125.69799002643</v>
      </c>
      <c r="O95" s="3">
        <v>3340.93098985008</v>
      </c>
      <c r="P95" s="3">
        <v>3460.83994625051</v>
      </c>
      <c r="Q95" s="3">
        <v>5834.76750000808</v>
      </c>
      <c r="R95" s="3">
        <v>1013.12438891652</v>
      </c>
      <c r="S95" s="3">
        <v>2.64908295537806E-4</v>
      </c>
      <c r="T95" s="3">
        <v>0.0</v>
      </c>
      <c r="U95" s="3">
        <v>1000.44523568785</v>
      </c>
      <c r="V95" s="3">
        <v>0.0</v>
      </c>
      <c r="W95" s="3">
        <v>7578.06962683914</v>
      </c>
      <c r="X95" s="3">
        <v>6082.51423901392</v>
      </c>
      <c r="Y95" s="3">
        <v>0.0</v>
      </c>
      <c r="Z95" s="2">
        <v>0.0</v>
      </c>
      <c r="AA95" s="1">
        <v>39823.5920030281</v>
      </c>
      <c r="AB95" s="2" t="s">
        <v>29</v>
      </c>
      <c r="AC95" s="2">
        <v>1.0</v>
      </c>
      <c r="AD95" s="2" t="b">
        <v>1</v>
      </c>
      <c r="AE95" s="1">
        <v>36277.31</v>
      </c>
      <c r="AF95" s="6">
        <f t="shared" si="1"/>
        <v>-0.0890497774</v>
      </c>
    </row>
    <row r="96">
      <c r="A96" s="4">
        <v>95.0</v>
      </c>
      <c r="B96" s="5">
        <v>45222.0</v>
      </c>
      <c r="C96" s="1">
        <v>28894.93</v>
      </c>
      <c r="D96" s="2">
        <v>-22505.6607485372</v>
      </c>
      <c r="E96" s="2">
        <v>0.0</v>
      </c>
      <c r="F96" s="2">
        <v>11011.1453224252</v>
      </c>
      <c r="G96" s="3">
        <v>438.976882654226</v>
      </c>
      <c r="H96" s="3">
        <v>0.0</v>
      </c>
      <c r="I96" s="3">
        <v>612.531691317276</v>
      </c>
      <c r="J96" s="3">
        <v>5675.32687604096</v>
      </c>
      <c r="K96" s="3">
        <v>744.09258046323</v>
      </c>
      <c r="L96" s="3">
        <v>0.0</v>
      </c>
      <c r="M96" s="3">
        <v>0.0</v>
      </c>
      <c r="N96" s="3">
        <v>2610.82054435303</v>
      </c>
      <c r="O96" s="3">
        <v>2957.0211146682</v>
      </c>
      <c r="P96" s="3">
        <v>3516.36751382538</v>
      </c>
      <c r="Q96" s="3">
        <v>5679.1590611319</v>
      </c>
      <c r="R96" s="3">
        <v>1011.78333969739</v>
      </c>
      <c r="S96" s="3">
        <v>1.53178072879488E-4</v>
      </c>
      <c r="T96" s="3">
        <v>0.0</v>
      </c>
      <c r="U96" s="3">
        <v>5433.06942477062</v>
      </c>
      <c r="V96" s="3">
        <v>0.0</v>
      </c>
      <c r="W96" s="3">
        <v>8051.42594230745</v>
      </c>
      <c r="X96" s="3">
        <v>4632.54556015195</v>
      </c>
      <c r="Y96" s="3">
        <v>0.0</v>
      </c>
      <c r="Z96" s="2">
        <v>0.0</v>
      </c>
      <c r="AA96" s="1">
        <v>29868.6052584476</v>
      </c>
      <c r="AB96" s="2" t="s">
        <v>29</v>
      </c>
      <c r="AC96" s="2">
        <v>1.0</v>
      </c>
      <c r="AD96" s="2" t="b">
        <v>1</v>
      </c>
      <c r="AE96" s="1">
        <v>28894.93</v>
      </c>
      <c r="AF96" s="6">
        <f t="shared" si="1"/>
        <v>-0.03259861818</v>
      </c>
    </row>
    <row r="97">
      <c r="A97" s="4">
        <v>96.0</v>
      </c>
      <c r="B97" s="5">
        <v>45229.0</v>
      </c>
      <c r="C97" s="1">
        <v>35297.91</v>
      </c>
      <c r="D97" s="2">
        <v>-25628.7724314847</v>
      </c>
      <c r="E97" s="2">
        <v>10287.8610064012</v>
      </c>
      <c r="F97" s="2">
        <v>11004.5790302456</v>
      </c>
      <c r="G97" s="3">
        <v>0.0</v>
      </c>
      <c r="H97" s="3">
        <v>0.0</v>
      </c>
      <c r="I97" s="3">
        <v>65.8441225770115</v>
      </c>
      <c r="J97" s="3">
        <v>6644.50706390385</v>
      </c>
      <c r="K97" s="3">
        <v>723.614576365846</v>
      </c>
      <c r="L97" s="3">
        <v>0.0</v>
      </c>
      <c r="M97" s="3">
        <v>0.0</v>
      </c>
      <c r="N97" s="3">
        <v>3695.41869623424</v>
      </c>
      <c r="O97" s="3">
        <v>1997.25591175593</v>
      </c>
      <c r="P97" s="3">
        <v>2997.20383713307</v>
      </c>
      <c r="Q97" s="3">
        <v>3717.70668203093</v>
      </c>
      <c r="R97" s="3">
        <v>884.409135450491</v>
      </c>
      <c r="S97" s="7">
        <v>8.81716648196189E-5</v>
      </c>
      <c r="T97" s="3">
        <v>0.0</v>
      </c>
      <c r="U97" s="3">
        <v>0.0576100139327308</v>
      </c>
      <c r="V97" s="3">
        <v>0.0</v>
      </c>
      <c r="W97" s="3">
        <v>8020.15272871616</v>
      </c>
      <c r="X97" s="3">
        <v>4653.68453710932</v>
      </c>
      <c r="Y97" s="3">
        <v>0.0</v>
      </c>
      <c r="Z97" s="2">
        <v>0.0</v>
      </c>
      <c r="AA97" s="1">
        <v>29063.5225946245</v>
      </c>
      <c r="AB97" s="2" t="s">
        <v>29</v>
      </c>
      <c r="AC97" s="2">
        <v>1.0</v>
      </c>
      <c r="AD97" s="2" t="b">
        <v>1</v>
      </c>
      <c r="AE97" s="1">
        <v>35297.91</v>
      </c>
      <c r="AF97" s="6">
        <f t="shared" si="1"/>
        <v>0.2145090082</v>
      </c>
    </row>
    <row r="98">
      <c r="A98" s="4">
        <v>97.0</v>
      </c>
      <c r="B98" s="5">
        <v>45236.0</v>
      </c>
      <c r="C98" s="1">
        <v>24480.33</v>
      </c>
      <c r="D98" s="2">
        <v>-12567.8883257666</v>
      </c>
      <c r="E98" s="2">
        <v>0.0</v>
      </c>
      <c r="F98" s="2">
        <v>10998.012738066</v>
      </c>
      <c r="G98" s="3">
        <v>0.0</v>
      </c>
      <c r="H98" s="3">
        <v>0.0</v>
      </c>
      <c r="I98" s="3">
        <v>2.70181583827523</v>
      </c>
      <c r="J98" s="3">
        <v>6771.94574633934</v>
      </c>
      <c r="K98" s="3">
        <v>722.645369930008</v>
      </c>
      <c r="L98" s="3">
        <v>0.0</v>
      </c>
      <c r="M98" s="3">
        <v>0.0</v>
      </c>
      <c r="N98" s="3">
        <v>4310.48892864415</v>
      </c>
      <c r="O98" s="3">
        <v>1679.87155187611</v>
      </c>
      <c r="P98" s="3">
        <v>3454.32091198251</v>
      </c>
      <c r="Q98" s="3">
        <v>4831.95529809116</v>
      </c>
      <c r="R98" s="3">
        <v>825.7579908303</v>
      </c>
      <c r="S98" s="7">
        <v>5.05268797053951E-5</v>
      </c>
      <c r="T98" s="3">
        <v>0.0</v>
      </c>
      <c r="U98" s="3">
        <v>149.879847183757</v>
      </c>
      <c r="V98" s="3">
        <v>0.0</v>
      </c>
      <c r="W98" s="3">
        <v>7053.21277411311</v>
      </c>
      <c r="X98" s="3">
        <v>1868.50457596078</v>
      </c>
      <c r="Y98" s="3">
        <v>0.0</v>
      </c>
      <c r="Z98" s="2">
        <v>0.0</v>
      </c>
      <c r="AA98" s="1">
        <v>30101.4092736158</v>
      </c>
      <c r="AB98" s="2" t="s">
        <v>29</v>
      </c>
      <c r="AC98" s="2">
        <v>1.0</v>
      </c>
      <c r="AD98" s="2" t="b">
        <v>1</v>
      </c>
      <c r="AE98" s="1">
        <v>24480.33</v>
      </c>
      <c r="AF98" s="6">
        <f t="shared" si="1"/>
        <v>-0.1867380767</v>
      </c>
    </row>
    <row r="99">
      <c r="A99" s="4">
        <v>98.0</v>
      </c>
      <c r="B99" s="5">
        <v>45243.0</v>
      </c>
      <c r="C99" s="1">
        <v>81457.76</v>
      </c>
      <c r="D99" s="2">
        <v>14703.0323141046</v>
      </c>
      <c r="E99" s="2">
        <v>0.0</v>
      </c>
      <c r="F99" s="2">
        <v>10991.4464458864</v>
      </c>
      <c r="G99" s="3">
        <v>0.0</v>
      </c>
      <c r="H99" s="3">
        <v>4670.44295392314</v>
      </c>
      <c r="I99" s="3">
        <v>0.0393969231081776</v>
      </c>
      <c r="J99" s="3">
        <v>6449.30864959679</v>
      </c>
      <c r="K99" s="3">
        <v>728.855422792295</v>
      </c>
      <c r="L99" s="3">
        <v>0.0</v>
      </c>
      <c r="M99" s="3">
        <v>0.0</v>
      </c>
      <c r="N99" s="3">
        <v>6825.47532007008</v>
      </c>
      <c r="O99" s="3">
        <v>1453.44476294646</v>
      </c>
      <c r="P99" s="3">
        <v>3560.49794091017</v>
      </c>
      <c r="Q99" s="3">
        <v>5504.63301682274</v>
      </c>
      <c r="R99" s="3">
        <v>825.595145104631</v>
      </c>
      <c r="S99" s="7">
        <v>2.88273959221221E-5</v>
      </c>
      <c r="T99" s="3">
        <v>0.0</v>
      </c>
      <c r="U99" s="3">
        <v>19545.3126416257</v>
      </c>
      <c r="V99" s="3">
        <v>0.0</v>
      </c>
      <c r="W99" s="3">
        <v>4918.8199630241</v>
      </c>
      <c r="X99" s="3">
        <v>284.511975647712</v>
      </c>
      <c r="Y99" s="3">
        <v>0.0</v>
      </c>
      <c r="Z99" s="2">
        <v>0.0</v>
      </c>
      <c r="AA99" s="1">
        <v>80461.4159782052</v>
      </c>
      <c r="AB99" s="2" t="s">
        <v>29</v>
      </c>
      <c r="AC99" s="2">
        <v>1.0</v>
      </c>
      <c r="AD99" s="2" t="b">
        <v>1</v>
      </c>
      <c r="AE99" s="1">
        <v>81457.76</v>
      </c>
      <c r="AF99" s="6">
        <f t="shared" si="1"/>
        <v>0.01238287954</v>
      </c>
    </row>
    <row r="100">
      <c r="A100" s="4">
        <v>99.0</v>
      </c>
      <c r="B100" s="5">
        <v>45250.0</v>
      </c>
      <c r="C100" s="1">
        <v>141564.75</v>
      </c>
      <c r="D100" s="2">
        <v>39419.7838412495</v>
      </c>
      <c r="E100" s="2">
        <v>0.0</v>
      </c>
      <c r="F100" s="2">
        <v>10984.8801537068</v>
      </c>
      <c r="G100" s="3">
        <v>877.953765308453</v>
      </c>
      <c r="H100" s="3">
        <v>0.0</v>
      </c>
      <c r="I100" s="3">
        <v>1.87262131792286E-4</v>
      </c>
      <c r="J100" s="3">
        <v>6259.29544287545</v>
      </c>
      <c r="K100" s="3">
        <v>727.060320961003</v>
      </c>
      <c r="L100" s="3">
        <v>0.0</v>
      </c>
      <c r="M100" s="3">
        <v>0.0</v>
      </c>
      <c r="N100" s="3">
        <v>15745.164251614</v>
      </c>
      <c r="O100" s="3">
        <v>1117.53312704829</v>
      </c>
      <c r="P100" s="3">
        <v>3392.88099516908</v>
      </c>
      <c r="Q100" s="3">
        <v>5211.58514062914</v>
      </c>
      <c r="R100" s="3">
        <v>848.354162510172</v>
      </c>
      <c r="S100" s="7">
        <v>1.6375904584063E-5</v>
      </c>
      <c r="T100" s="3">
        <v>0.0</v>
      </c>
      <c r="U100" s="3">
        <v>25227.9404271946</v>
      </c>
      <c r="V100" s="3">
        <v>0.0</v>
      </c>
      <c r="W100" s="3">
        <v>2038.88231335319</v>
      </c>
      <c r="X100" s="3">
        <v>19.0238849092788</v>
      </c>
      <c r="Y100" s="3">
        <v>0.0</v>
      </c>
      <c r="Z100" s="2">
        <v>0.0</v>
      </c>
      <c r="AA100" s="1">
        <v>111870.338030167</v>
      </c>
      <c r="AB100" s="2" t="s">
        <v>29</v>
      </c>
      <c r="AC100" s="2">
        <v>1.0</v>
      </c>
      <c r="AD100" s="2" t="b">
        <v>1</v>
      </c>
      <c r="AE100" s="1">
        <v>141564.75</v>
      </c>
      <c r="AF100" s="6">
        <f t="shared" si="1"/>
        <v>0.2654359725</v>
      </c>
    </row>
    <row r="101">
      <c r="A101" s="4">
        <v>100.0</v>
      </c>
      <c r="B101" s="5">
        <v>45257.0</v>
      </c>
      <c r="C101" s="1">
        <v>42111.38</v>
      </c>
      <c r="D101" s="2">
        <v>43256.6747861666</v>
      </c>
      <c r="E101" s="2">
        <v>0.0</v>
      </c>
      <c r="F101" s="2">
        <v>10978.3138615272</v>
      </c>
      <c r="G101" s="3">
        <v>0.0</v>
      </c>
      <c r="H101" s="3">
        <v>0.0</v>
      </c>
      <c r="I101" s="7">
        <v>2.66462648196089E-7</v>
      </c>
      <c r="J101" s="3">
        <v>6266.22668867672</v>
      </c>
      <c r="K101" s="3">
        <v>2677.3590648841</v>
      </c>
      <c r="L101" s="3">
        <v>0.0</v>
      </c>
      <c r="M101" s="3">
        <v>0.0</v>
      </c>
      <c r="N101" s="3">
        <v>6875.67775130894</v>
      </c>
      <c r="O101" s="3">
        <v>865.526227609255</v>
      </c>
      <c r="P101" s="3">
        <v>3118.48622430421</v>
      </c>
      <c r="Q101" s="3">
        <v>5256.06469301403</v>
      </c>
      <c r="R101" s="3">
        <v>758.627653714188</v>
      </c>
      <c r="S101" s="7">
        <v>9.26293496635221E-6</v>
      </c>
      <c r="T101" s="3">
        <v>0.0</v>
      </c>
      <c r="U101" s="3">
        <v>348.4423432653</v>
      </c>
      <c r="V101" s="3">
        <v>0.0</v>
      </c>
      <c r="W101" s="3">
        <v>357.65922174821</v>
      </c>
      <c r="X101" s="3">
        <v>1039.04609347679</v>
      </c>
      <c r="Y101" s="3">
        <v>0.0</v>
      </c>
      <c r="Z101" s="2">
        <v>0.0</v>
      </c>
      <c r="AA101" s="1">
        <v>81798.1046192249</v>
      </c>
      <c r="AB101" s="2" t="s">
        <v>29</v>
      </c>
      <c r="AC101" s="2">
        <v>1.0</v>
      </c>
      <c r="AD101" s="2" t="b">
        <v>1</v>
      </c>
      <c r="AE101" s="1">
        <v>42111.38</v>
      </c>
      <c r="AF101" s="6">
        <f t="shared" si="1"/>
        <v>-0.4851790247</v>
      </c>
    </row>
    <row r="102">
      <c r="A102" s="4">
        <v>101.0</v>
      </c>
      <c r="B102" s="5">
        <v>45264.0</v>
      </c>
      <c r="C102" s="1">
        <v>40878.13</v>
      </c>
      <c r="D102" s="2">
        <v>23839.0356701254</v>
      </c>
      <c r="E102" s="2">
        <v>-27653.5547400729</v>
      </c>
      <c r="F102" s="2">
        <v>10971.7475693476</v>
      </c>
      <c r="G102" s="3">
        <v>0.0</v>
      </c>
      <c r="H102" s="3">
        <v>0.0</v>
      </c>
      <c r="I102" s="7">
        <v>1.04593882117433E-10</v>
      </c>
      <c r="J102" s="3">
        <v>6430.99190065312</v>
      </c>
      <c r="K102" s="3">
        <v>10394.8179286539</v>
      </c>
      <c r="L102" s="3">
        <v>0.0</v>
      </c>
      <c r="M102" s="3">
        <v>0.0</v>
      </c>
      <c r="N102" s="3">
        <v>5546.67921881934</v>
      </c>
      <c r="O102" s="3">
        <v>601.552181217597</v>
      </c>
      <c r="P102" s="3">
        <v>3897.78077436393</v>
      </c>
      <c r="Q102" s="3">
        <v>7933.0705979006</v>
      </c>
      <c r="R102" s="3">
        <v>902.665854254892</v>
      </c>
      <c r="S102" s="7">
        <v>5.21748142423235E-6</v>
      </c>
      <c r="T102" s="3">
        <v>0.0</v>
      </c>
      <c r="U102" s="3">
        <v>0.00307019469717713</v>
      </c>
      <c r="V102" s="3">
        <v>0.0</v>
      </c>
      <c r="W102" s="3">
        <v>24.3353938873353</v>
      </c>
      <c r="X102" s="3">
        <v>7937.01799269178</v>
      </c>
      <c r="Y102" s="3">
        <v>0.0</v>
      </c>
      <c r="Z102" s="2">
        <v>0.0</v>
      </c>
      <c r="AA102" s="1">
        <v>50826.1434172549</v>
      </c>
      <c r="AB102" s="2" t="s">
        <v>29</v>
      </c>
      <c r="AC102" s="2">
        <v>1.0</v>
      </c>
      <c r="AD102" s="2" t="b">
        <v>1</v>
      </c>
      <c r="AE102" s="1">
        <v>40878.13</v>
      </c>
      <c r="AF102" s="6">
        <f t="shared" si="1"/>
        <v>-0.1957263083</v>
      </c>
    </row>
    <row r="103">
      <c r="A103" s="4">
        <v>102.0</v>
      </c>
      <c r="B103" s="5">
        <v>45271.0</v>
      </c>
      <c r="C103" s="1">
        <v>93564.38</v>
      </c>
      <c r="D103" s="2">
        <v>-1196.13624911606</v>
      </c>
      <c r="E103" s="2">
        <v>0.0</v>
      </c>
      <c r="F103" s="2">
        <v>10965.181277168</v>
      </c>
      <c r="G103" s="3">
        <v>0.0</v>
      </c>
      <c r="H103" s="3">
        <v>0.0</v>
      </c>
      <c r="I103" s="7">
        <v>1.04687574189587E-14</v>
      </c>
      <c r="J103" s="3">
        <v>6563.52090393455</v>
      </c>
      <c r="K103" s="3">
        <v>7568.33618844473</v>
      </c>
      <c r="L103" s="3">
        <v>0.0</v>
      </c>
      <c r="M103" s="3">
        <v>0.0</v>
      </c>
      <c r="N103" s="3">
        <v>6291.57331016954</v>
      </c>
      <c r="O103" s="3">
        <v>689.746678686235</v>
      </c>
      <c r="P103" s="3">
        <v>6103.65532816441</v>
      </c>
      <c r="Q103" s="3">
        <v>14925.015129541</v>
      </c>
      <c r="R103" s="3">
        <v>1286.60901480674</v>
      </c>
      <c r="S103" s="7">
        <v>2.92662357004436E-6</v>
      </c>
      <c r="T103" s="3">
        <v>0.0</v>
      </c>
      <c r="U103" s="3">
        <v>139.588087222111</v>
      </c>
      <c r="V103" s="3">
        <v>0.0</v>
      </c>
      <c r="W103" s="3">
        <v>0.631781993488195</v>
      </c>
      <c r="X103" s="3">
        <v>10535.2674806067</v>
      </c>
      <c r="Y103" s="3">
        <v>0.0</v>
      </c>
      <c r="Z103" s="2">
        <v>0.0</v>
      </c>
      <c r="AA103" s="1">
        <v>63872.9889345481</v>
      </c>
      <c r="AB103" s="2" t="s">
        <v>29</v>
      </c>
      <c r="AC103" s="2">
        <v>1.0</v>
      </c>
      <c r="AD103" s="2" t="b">
        <v>1</v>
      </c>
      <c r="AE103" s="1">
        <v>93564.38</v>
      </c>
      <c r="AF103" s="6">
        <f t="shared" si="1"/>
        <v>0.4648505035</v>
      </c>
    </row>
    <row r="104">
      <c r="A104" s="4">
        <v>103.0</v>
      </c>
      <c r="B104" s="5">
        <v>45278.0</v>
      </c>
      <c r="C104" s="1">
        <v>21195.49</v>
      </c>
      <c r="D104" s="2">
        <v>-9089.13229437809</v>
      </c>
      <c r="E104" s="2">
        <v>0.0</v>
      </c>
      <c r="F104" s="2">
        <v>10958.6149849884</v>
      </c>
      <c r="G104" s="3">
        <v>0.0</v>
      </c>
      <c r="H104" s="3">
        <v>0.0</v>
      </c>
      <c r="I104" s="7">
        <v>2.47663402542263E-19</v>
      </c>
      <c r="J104" s="3">
        <v>6435.19087280759</v>
      </c>
      <c r="K104" s="3">
        <v>170.827069536041</v>
      </c>
      <c r="L104" s="3">
        <v>0.0</v>
      </c>
      <c r="M104" s="3">
        <v>0.0</v>
      </c>
      <c r="N104" s="3">
        <v>1400.03451764128</v>
      </c>
      <c r="O104" s="3">
        <v>468.183989739284</v>
      </c>
      <c r="P104" s="3">
        <v>6016.20284660737</v>
      </c>
      <c r="Q104" s="3">
        <v>14482.8663202852</v>
      </c>
      <c r="R104" s="3">
        <v>1535.37621307768</v>
      </c>
      <c r="S104" s="7">
        <v>1.63489674004491E-6</v>
      </c>
      <c r="T104" s="3">
        <v>0.0</v>
      </c>
      <c r="U104" s="3">
        <v>1598.06092480705</v>
      </c>
      <c r="V104" s="3">
        <v>0.0</v>
      </c>
      <c r="W104" s="3">
        <v>0.0057894586819509</v>
      </c>
      <c r="X104" s="3">
        <v>10408.1145788598</v>
      </c>
      <c r="Y104" s="3">
        <v>0.0</v>
      </c>
      <c r="Z104" s="2">
        <v>0.0</v>
      </c>
      <c r="AA104" s="1">
        <v>44384.3458150651</v>
      </c>
      <c r="AB104" s="2" t="s">
        <v>29</v>
      </c>
      <c r="AC104" s="2">
        <v>1.0</v>
      </c>
      <c r="AD104" s="2" t="b">
        <v>1</v>
      </c>
      <c r="AE104" s="1">
        <v>21195.49</v>
      </c>
      <c r="AF104" s="6">
        <f t="shared" si="1"/>
        <v>-0.5224557305</v>
      </c>
    </row>
    <row r="105">
      <c r="A105" s="4">
        <v>104.0</v>
      </c>
      <c r="B105" s="5">
        <v>45285.0</v>
      </c>
      <c r="C105" s="1">
        <v>82758.0</v>
      </c>
      <c r="D105" s="2">
        <v>7833.79512061502</v>
      </c>
      <c r="E105" s="2">
        <v>-2469.09396950578</v>
      </c>
      <c r="F105" s="2">
        <v>10952.0486928088</v>
      </c>
      <c r="G105" s="3">
        <v>0.0</v>
      </c>
      <c r="H105" s="3">
        <v>4670.44295392314</v>
      </c>
      <c r="I105" s="7">
        <v>1.28698954642567E-24</v>
      </c>
      <c r="J105" s="3">
        <v>6025.90448037051</v>
      </c>
      <c r="K105" s="3">
        <v>0.0283796569302763</v>
      </c>
      <c r="L105" s="3">
        <v>0.0</v>
      </c>
      <c r="M105" s="3">
        <v>0.0</v>
      </c>
      <c r="N105" s="3">
        <v>351.631150211079</v>
      </c>
      <c r="O105" s="3">
        <v>188.466327360309</v>
      </c>
      <c r="P105" s="3">
        <v>4373.90878275221</v>
      </c>
      <c r="Q105" s="3">
        <v>7816.9417430659</v>
      </c>
      <c r="R105" s="3">
        <v>1472.04397558319</v>
      </c>
      <c r="S105" s="7">
        <v>9.09608192617026E-7</v>
      </c>
      <c r="T105" s="3">
        <v>0.0</v>
      </c>
      <c r="U105" s="3">
        <v>5808.45691075484</v>
      </c>
      <c r="V105" s="3">
        <v>0.0</v>
      </c>
      <c r="W105" s="7">
        <v>1.70339476867902E-5</v>
      </c>
      <c r="X105" s="3">
        <v>7710.23250126778</v>
      </c>
      <c r="Y105" s="3">
        <v>0.0</v>
      </c>
      <c r="Z105" s="2">
        <v>0.0</v>
      </c>
      <c r="AA105" s="1">
        <v>54734.8070668075</v>
      </c>
      <c r="AB105" s="2" t="s">
        <v>29</v>
      </c>
      <c r="AC105" s="2">
        <v>1.0</v>
      </c>
      <c r="AD105" s="2" t="b">
        <v>1</v>
      </c>
      <c r="AE105" s="1">
        <v>82758.0</v>
      </c>
      <c r="AF105" s="6">
        <f t="shared" si="1"/>
        <v>0.5119812133</v>
      </c>
    </row>
    <row r="106">
      <c r="B106" s="8"/>
      <c r="C106" s="8"/>
      <c r="D106" s="9"/>
      <c r="E106" s="9"/>
      <c r="F106" s="9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9"/>
      <c r="AA106" s="8"/>
      <c r="AB106" s="9"/>
      <c r="AC106" s="9"/>
      <c r="AD106" s="9"/>
      <c r="AE106" s="8"/>
    </row>
    <row r="107">
      <c r="B107" s="8"/>
      <c r="C107" s="8"/>
      <c r="D107" s="9"/>
      <c r="E107" s="9"/>
      <c r="F107" s="9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9"/>
      <c r="AA107" s="8"/>
      <c r="AB107" s="9"/>
      <c r="AC107" s="9"/>
      <c r="AD107" s="9"/>
      <c r="AE10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3" max="3" width="49.38"/>
  </cols>
  <sheetData>
    <row r="1">
      <c r="A1" s="4" t="s">
        <v>30</v>
      </c>
    </row>
    <row r="2">
      <c r="A2" s="6">
        <v>-0.7117304677169369</v>
      </c>
      <c r="C2" s="11" t="s">
        <v>31</v>
      </c>
    </row>
    <row r="3">
      <c r="A3" s="6">
        <v>-0.522455730488524</v>
      </c>
    </row>
    <row r="4">
      <c r="A4" s="6">
        <v>-0.4851790246726253</v>
      </c>
    </row>
    <row r="5">
      <c r="A5" s="6">
        <v>-0.4680074720897456</v>
      </c>
    </row>
    <row r="6">
      <c r="A6" s="6">
        <v>-0.3877156413978986</v>
      </c>
    </row>
    <row r="7">
      <c r="A7" s="6">
        <v>-0.37235723139949206</v>
      </c>
    </row>
    <row r="8">
      <c r="A8" s="6">
        <v>-0.3711279709383011</v>
      </c>
    </row>
    <row r="9">
      <c r="A9" s="6">
        <v>-0.31816855578913406</v>
      </c>
    </row>
    <row r="10">
      <c r="A10" s="6">
        <v>-0.3004483158752397</v>
      </c>
    </row>
    <row r="11">
      <c r="A11" s="6">
        <v>-0.2823029648580967</v>
      </c>
    </row>
    <row r="12">
      <c r="A12" s="6">
        <v>-0.27780583985746143</v>
      </c>
    </row>
    <row r="13">
      <c r="A13" s="6">
        <v>-0.25055462848750965</v>
      </c>
    </row>
    <row r="14">
      <c r="A14" s="6">
        <v>-0.2448055151815497</v>
      </c>
    </row>
    <row r="15">
      <c r="A15" s="6">
        <v>-0.24191785432063517</v>
      </c>
    </row>
    <row r="16">
      <c r="A16" s="6">
        <v>-0.23708044113312543</v>
      </c>
    </row>
    <row r="17">
      <c r="A17" s="6">
        <v>-0.23061664201850673</v>
      </c>
    </row>
    <row r="18">
      <c r="A18" s="6">
        <v>-0.20431002483835825</v>
      </c>
    </row>
    <row r="19">
      <c r="A19" s="6">
        <v>-0.20197273610674893</v>
      </c>
    </row>
    <row r="20">
      <c r="A20" s="6">
        <v>-0.20157259301333252</v>
      </c>
    </row>
    <row r="21">
      <c r="A21" s="6">
        <v>-0.19572630832103743</v>
      </c>
    </row>
    <row r="22">
      <c r="A22" s="6">
        <v>-0.19016983656211062</v>
      </c>
    </row>
    <row r="23">
      <c r="A23" s="6">
        <v>-0.18673807669671916</v>
      </c>
    </row>
    <row r="24">
      <c r="A24" s="6">
        <v>-0.18409299127278222</v>
      </c>
    </row>
    <row r="25">
      <c r="A25" s="6">
        <v>-0.18019130961564822</v>
      </c>
    </row>
    <row r="26">
      <c r="A26" s="6">
        <v>-0.17493603065952212</v>
      </c>
    </row>
    <row r="27">
      <c r="A27" s="6">
        <v>-0.15258650605897695</v>
      </c>
    </row>
    <row r="28">
      <c r="A28" s="6">
        <v>-0.14673598366477014</v>
      </c>
    </row>
    <row r="29">
      <c r="A29" s="6">
        <v>-0.13973233621775905</v>
      </c>
    </row>
    <row r="30">
      <c r="A30" s="6">
        <v>-0.13888130316409075</v>
      </c>
    </row>
    <row r="31">
      <c r="A31" s="6">
        <v>-0.133952737141234</v>
      </c>
    </row>
    <row r="32">
      <c r="A32" s="6">
        <v>-0.12815317460041387</v>
      </c>
    </row>
    <row r="33">
      <c r="A33" s="6">
        <v>-0.12495290783996549</v>
      </c>
    </row>
    <row r="34">
      <c r="A34" s="6">
        <v>-0.1186764097355093</v>
      </c>
    </row>
    <row r="35">
      <c r="A35" s="6">
        <v>-0.11821568965407148</v>
      </c>
    </row>
    <row r="36">
      <c r="A36" s="6">
        <v>-0.11784050806630908</v>
      </c>
    </row>
    <row r="37">
      <c r="A37" s="6">
        <v>-0.09229733130595852</v>
      </c>
    </row>
    <row r="38">
      <c r="A38" s="6">
        <v>-0.08931569721178023</v>
      </c>
    </row>
    <row r="39">
      <c r="A39" s="6">
        <v>-0.08904977739723852</v>
      </c>
    </row>
    <row r="40">
      <c r="A40" s="6">
        <v>-0.08815945009240467</v>
      </c>
    </row>
    <row r="41">
      <c r="A41" s="6">
        <v>-0.08252522369987814</v>
      </c>
    </row>
    <row r="42">
      <c r="A42" s="6">
        <v>-0.07858956102184822</v>
      </c>
    </row>
    <row r="43">
      <c r="A43" s="6">
        <v>-0.0776776161512378</v>
      </c>
    </row>
    <row r="44">
      <c r="A44" s="6">
        <v>-0.07431242338889876</v>
      </c>
    </row>
    <row r="45">
      <c r="A45" s="6">
        <v>-0.07362495155547222</v>
      </c>
    </row>
    <row r="46">
      <c r="A46" s="6">
        <v>-0.06919051649630503</v>
      </c>
    </row>
    <row r="47">
      <c r="A47" s="6">
        <v>-0.05998042146743732</v>
      </c>
    </row>
    <row r="48">
      <c r="A48" s="6">
        <v>-0.05602495558573661</v>
      </c>
    </row>
    <row r="49">
      <c r="A49" s="6">
        <v>-0.048377351697305504</v>
      </c>
    </row>
    <row r="50">
      <c r="A50" s="6">
        <v>-0.03783264224883587</v>
      </c>
    </row>
    <row r="51">
      <c r="A51" s="6">
        <v>-0.03307082670663286</v>
      </c>
    </row>
    <row r="52">
      <c r="A52" s="6">
        <v>-0.032598618181952754</v>
      </c>
    </row>
    <row r="53">
      <c r="A53" s="6">
        <v>-0.02799091117998509</v>
      </c>
    </row>
    <row r="54">
      <c r="A54" s="6">
        <v>-0.023861566120892963</v>
      </c>
    </row>
    <row r="55">
      <c r="A55" s="6">
        <v>-0.0225405405610678</v>
      </c>
    </row>
    <row r="56">
      <c r="A56" s="6">
        <v>-0.006861866688406715</v>
      </c>
    </row>
    <row r="57">
      <c r="A57" s="6">
        <v>-5.975856816877734E-4</v>
      </c>
    </row>
    <row r="58">
      <c r="A58" s="6">
        <v>6.069078931669747E-4</v>
      </c>
    </row>
    <row r="59">
      <c r="A59" s="6">
        <v>0.0053806028764689096</v>
      </c>
    </row>
    <row r="60">
      <c r="A60" s="6">
        <v>0.009966123696178997</v>
      </c>
    </row>
    <row r="61">
      <c r="A61" s="6">
        <v>0.012382879541477099</v>
      </c>
    </row>
    <row r="62">
      <c r="A62" s="6">
        <v>0.014317326896930327</v>
      </c>
    </row>
    <row r="63">
      <c r="A63" s="6">
        <v>0.031486827034578724</v>
      </c>
    </row>
    <row r="64">
      <c r="A64" s="6">
        <v>0.03153769402003914</v>
      </c>
    </row>
    <row r="65">
      <c r="A65" s="6">
        <v>0.03314105087704333</v>
      </c>
    </row>
    <row r="66">
      <c r="A66" s="6">
        <v>0.034030842631967095</v>
      </c>
    </row>
    <row r="67">
      <c r="A67" s="6">
        <v>0.034858726586842304</v>
      </c>
    </row>
    <row r="68">
      <c r="A68" s="6">
        <v>0.038322572796988474</v>
      </c>
    </row>
    <row r="69">
      <c r="A69" s="6">
        <v>0.042226084664466645</v>
      </c>
    </row>
    <row r="70">
      <c r="A70" s="6">
        <v>0.04539531549023512</v>
      </c>
    </row>
    <row r="71">
      <c r="A71" s="6">
        <v>0.0524781962785803</v>
      </c>
    </row>
    <row r="72">
      <c r="A72" s="6">
        <v>0.05860404300506228</v>
      </c>
    </row>
    <row r="73">
      <c r="A73" s="6">
        <v>0.05904134472853584</v>
      </c>
    </row>
    <row r="74">
      <c r="A74" s="6">
        <v>0.0711661070739229</v>
      </c>
    </row>
    <row r="75">
      <c r="A75" s="6">
        <v>0.07248292221733887</v>
      </c>
    </row>
    <row r="76">
      <c r="A76" s="6">
        <v>0.07254094084596141</v>
      </c>
    </row>
    <row r="77">
      <c r="A77" s="6">
        <v>0.09754492985767937</v>
      </c>
    </row>
    <row r="78">
      <c r="A78" s="6">
        <v>0.1132736247126791</v>
      </c>
    </row>
    <row r="79">
      <c r="A79" s="6">
        <v>0.11589721977935441</v>
      </c>
    </row>
    <row r="80">
      <c r="A80" s="6">
        <v>0.1254854485944168</v>
      </c>
    </row>
    <row r="81">
      <c r="A81" s="6">
        <v>0.12784850126853442</v>
      </c>
    </row>
    <row r="82">
      <c r="A82" s="6">
        <v>0.13745032039108884</v>
      </c>
    </row>
    <row r="83">
      <c r="A83" s="6">
        <v>0.1434453303101113</v>
      </c>
    </row>
    <row r="84">
      <c r="A84" s="6">
        <v>0.15593765596999254</v>
      </c>
    </row>
    <row r="85">
      <c r="A85" s="6">
        <v>0.16287414154607105</v>
      </c>
    </row>
    <row r="86">
      <c r="A86" s="6">
        <v>0.16688266560277332</v>
      </c>
    </row>
    <row r="87">
      <c r="A87" s="6">
        <v>0.19501556996779068</v>
      </c>
    </row>
    <row r="88">
      <c r="A88" s="6">
        <v>0.20340245592577055</v>
      </c>
    </row>
    <row r="89">
      <c r="A89" s="6">
        <v>0.21450900815885943</v>
      </c>
    </row>
    <row r="90">
      <c r="A90" s="6">
        <v>0.23975768701985478</v>
      </c>
    </row>
    <row r="91">
      <c r="A91" s="6">
        <v>0.24765297048073065</v>
      </c>
    </row>
    <row r="92">
      <c r="A92" s="6">
        <v>0.26543597250797246</v>
      </c>
    </row>
    <row r="93">
      <c r="A93" s="6">
        <v>0.31248950386996577</v>
      </c>
    </row>
    <row r="94">
      <c r="A94" s="6">
        <v>0.3309871099547199</v>
      </c>
    </row>
    <row r="95">
      <c r="A95" s="6">
        <v>0.33552216182385686</v>
      </c>
    </row>
    <row r="96">
      <c r="A96" s="6">
        <v>0.35978264983347086</v>
      </c>
    </row>
    <row r="97">
      <c r="A97" s="6">
        <v>0.3665856716861291</v>
      </c>
    </row>
    <row r="98">
      <c r="A98" s="6">
        <v>0.3951368332703551</v>
      </c>
    </row>
    <row r="99">
      <c r="A99" s="6">
        <v>0.3954840797162873</v>
      </c>
    </row>
    <row r="100">
      <c r="A100" s="6">
        <v>0.42013027331713615</v>
      </c>
    </row>
    <row r="101">
      <c r="A101" s="6">
        <v>0.46485050348711976</v>
      </c>
    </row>
    <row r="102">
      <c r="A102" s="6">
        <v>0.4965929130257225</v>
      </c>
    </row>
    <row r="103">
      <c r="A103" s="6">
        <v>0.5119812133253401</v>
      </c>
    </row>
    <row r="104">
      <c r="A104" s="6">
        <v>0.5620991361610281</v>
      </c>
    </row>
    <row r="105">
      <c r="A105" s="6">
        <v>0.6426654609981306</v>
      </c>
    </row>
  </sheetData>
  <autoFilter ref="$A$1:$A$1000">
    <sortState ref="A1:A1000">
      <sortCondition ref="A1:A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3" width="27.63"/>
  </cols>
  <sheetData>
    <row r="1">
      <c r="A1" s="1" t="s">
        <v>0</v>
      </c>
      <c r="B1" s="12" t="s">
        <v>32</v>
      </c>
      <c r="C1" s="3" t="s">
        <v>33</v>
      </c>
      <c r="F1" s="4" t="s">
        <v>34</v>
      </c>
    </row>
    <row r="2">
      <c r="A2" s="5">
        <v>44564.0</v>
      </c>
      <c r="B2" s="13">
        <v>456.82</v>
      </c>
      <c r="C2" s="3">
        <v>6954.51337644882</v>
      </c>
      <c r="D2" s="6">
        <f t="shared" ref="D2:D44" si="1">C2/B2</f>
        <v>15.22374978</v>
      </c>
      <c r="E2" s="6">
        <f>AVERAGE(D2:D105)</f>
        <v>8.485537467</v>
      </c>
      <c r="F2" s="6">
        <f t="shared" ref="F2:F105" si="2">B2*E2</f>
        <v>3876.363226</v>
      </c>
    </row>
    <row r="3">
      <c r="A3" s="5">
        <v>44571.0</v>
      </c>
      <c r="B3" s="13">
        <v>355.65</v>
      </c>
      <c r="C3" s="3">
        <v>4001.12614903585</v>
      </c>
      <c r="D3" s="6">
        <f t="shared" si="1"/>
        <v>11.25017897</v>
      </c>
      <c r="E3" s="6">
        <v>8.48553746735069</v>
      </c>
      <c r="F3" s="6">
        <f t="shared" si="2"/>
        <v>3017.8814</v>
      </c>
    </row>
    <row r="4">
      <c r="A4" s="5">
        <v>44578.0</v>
      </c>
      <c r="B4" s="13">
        <v>321.76</v>
      </c>
      <c r="C4" s="3">
        <v>3074.29411018712</v>
      </c>
      <c r="D4" s="6">
        <f t="shared" si="1"/>
        <v>9.554618692</v>
      </c>
      <c r="E4" s="6">
        <v>8.48553746735069</v>
      </c>
      <c r="F4" s="6">
        <f t="shared" si="2"/>
        <v>2730.306535</v>
      </c>
    </row>
    <row r="5">
      <c r="A5" s="5">
        <v>44585.0</v>
      </c>
      <c r="B5" s="13">
        <v>301.37</v>
      </c>
      <c r="C5" s="3">
        <v>2603.82251205581</v>
      </c>
      <c r="D5" s="6">
        <f t="shared" si="1"/>
        <v>8.63995259</v>
      </c>
      <c r="E5" s="6">
        <v>8.48553746735069</v>
      </c>
      <c r="F5" s="6">
        <f t="shared" si="2"/>
        <v>2557.286427</v>
      </c>
    </row>
    <row r="6">
      <c r="A6" s="5">
        <v>44592.0</v>
      </c>
      <c r="B6" s="13">
        <v>269.38</v>
      </c>
      <c r="C6" s="3">
        <v>1977.13144589766</v>
      </c>
      <c r="D6" s="6">
        <f t="shared" si="1"/>
        <v>7.33956287</v>
      </c>
      <c r="E6" s="6">
        <v>8.48553746735069</v>
      </c>
      <c r="F6" s="6">
        <f t="shared" si="2"/>
        <v>2285.834083</v>
      </c>
    </row>
    <row r="7">
      <c r="A7" s="5">
        <v>44599.0</v>
      </c>
      <c r="B7" s="13">
        <v>150.74</v>
      </c>
      <c r="C7" s="3">
        <v>484.368068307876</v>
      </c>
      <c r="D7" s="6">
        <f t="shared" si="1"/>
        <v>3.213268332</v>
      </c>
      <c r="E7" s="6">
        <v>8.48553746735069</v>
      </c>
      <c r="F7" s="6">
        <f t="shared" si="2"/>
        <v>1279.109918</v>
      </c>
    </row>
    <row r="8">
      <c r="A8" s="5">
        <v>44606.0</v>
      </c>
      <c r="B8" s="13">
        <v>174.58</v>
      </c>
      <c r="C8" s="3">
        <v>642.896745417899</v>
      </c>
      <c r="D8" s="6">
        <f t="shared" si="1"/>
        <v>3.682533769</v>
      </c>
      <c r="E8" s="6">
        <v>8.48553746735069</v>
      </c>
      <c r="F8" s="6">
        <f t="shared" si="2"/>
        <v>1481.405131</v>
      </c>
    </row>
    <row r="9">
      <c r="A9" s="5">
        <v>44613.0</v>
      </c>
      <c r="B9" s="13">
        <v>111.69</v>
      </c>
      <c r="C9" s="3">
        <v>220.078367503067</v>
      </c>
      <c r="D9" s="6">
        <f t="shared" si="1"/>
        <v>1.970439319</v>
      </c>
      <c r="E9" s="6">
        <v>8.48553746735069</v>
      </c>
      <c r="F9" s="6">
        <f t="shared" si="2"/>
        <v>947.7496797</v>
      </c>
    </row>
    <row r="10">
      <c r="A10" s="5">
        <v>44620.0</v>
      </c>
      <c r="B10" s="13">
        <v>156.13</v>
      </c>
      <c r="C10" s="3">
        <v>476.308606742356</v>
      </c>
      <c r="D10" s="6">
        <f t="shared" si="1"/>
        <v>3.050718035</v>
      </c>
      <c r="E10" s="6">
        <v>8.48553746735069</v>
      </c>
      <c r="F10" s="6">
        <f t="shared" si="2"/>
        <v>1324.846965</v>
      </c>
    </row>
    <row r="11">
      <c r="A11" s="5">
        <v>44627.0</v>
      </c>
      <c r="B11" s="13">
        <v>374.62</v>
      </c>
      <c r="C11" s="3">
        <v>4177.54779442252</v>
      </c>
      <c r="D11" s="6">
        <f t="shared" si="1"/>
        <v>11.15142757</v>
      </c>
      <c r="E11" s="6">
        <v>8.48553746735069</v>
      </c>
      <c r="F11" s="6">
        <f t="shared" si="2"/>
        <v>3178.852046</v>
      </c>
    </row>
    <row r="12">
      <c r="A12" s="5">
        <v>44634.0</v>
      </c>
      <c r="B12" s="13">
        <v>321.71</v>
      </c>
      <c r="C12" s="3">
        <v>3090.59958982508</v>
      </c>
      <c r="D12" s="6">
        <f t="shared" si="1"/>
        <v>9.606787448</v>
      </c>
      <c r="E12" s="6">
        <v>8.48553746735069</v>
      </c>
      <c r="F12" s="6">
        <f t="shared" si="2"/>
        <v>2729.882259</v>
      </c>
    </row>
    <row r="13">
      <c r="A13" s="5">
        <v>44641.0</v>
      </c>
      <c r="B13" s="13">
        <v>279.92</v>
      </c>
      <c r="C13" s="3">
        <v>2183.12104143825</v>
      </c>
      <c r="D13" s="6">
        <f t="shared" si="1"/>
        <v>7.799089173</v>
      </c>
      <c r="E13" s="6">
        <v>8.48553746735069</v>
      </c>
      <c r="F13" s="6">
        <f t="shared" si="2"/>
        <v>2375.271648</v>
      </c>
    </row>
    <row r="14">
      <c r="A14" s="5">
        <v>44648.0</v>
      </c>
      <c r="B14" s="13">
        <v>281.81</v>
      </c>
      <c r="C14" s="3">
        <v>2186.4840574724</v>
      </c>
      <c r="D14" s="6">
        <f t="shared" si="1"/>
        <v>7.75871707</v>
      </c>
      <c r="E14" s="6">
        <v>8.48553746735069</v>
      </c>
      <c r="F14" s="6">
        <f t="shared" si="2"/>
        <v>2391.309314</v>
      </c>
    </row>
    <row r="15">
      <c r="A15" s="5">
        <v>44655.0</v>
      </c>
      <c r="B15" s="13">
        <v>258.39</v>
      </c>
      <c r="C15" s="3">
        <v>1775.90812513569</v>
      </c>
      <c r="D15" s="6">
        <f t="shared" si="1"/>
        <v>6.872975445</v>
      </c>
      <c r="E15" s="6">
        <v>8.48553746735069</v>
      </c>
      <c r="F15" s="6">
        <f t="shared" si="2"/>
        <v>2192.578026</v>
      </c>
    </row>
    <row r="16">
      <c r="A16" s="5">
        <v>44662.0</v>
      </c>
      <c r="B16" s="13">
        <v>245.48</v>
      </c>
      <c r="C16" s="3">
        <v>1555.12578417283</v>
      </c>
      <c r="D16" s="6">
        <f t="shared" si="1"/>
        <v>6.335040672</v>
      </c>
      <c r="E16" s="6">
        <v>8.48553746735069</v>
      </c>
      <c r="F16" s="6">
        <f t="shared" si="2"/>
        <v>2083.029737</v>
      </c>
    </row>
    <row r="17">
      <c r="A17" s="5">
        <v>44669.0</v>
      </c>
      <c r="B17" s="13">
        <v>288.57</v>
      </c>
      <c r="C17" s="3">
        <v>2287.56141016359</v>
      </c>
      <c r="D17" s="6">
        <f t="shared" si="1"/>
        <v>7.927232249</v>
      </c>
      <c r="E17" s="6">
        <v>8.48553746735069</v>
      </c>
      <c r="F17" s="6">
        <f t="shared" si="2"/>
        <v>2448.671547</v>
      </c>
    </row>
    <row r="18">
      <c r="A18" s="5">
        <v>44676.0</v>
      </c>
      <c r="B18" s="13">
        <v>315.68</v>
      </c>
      <c r="C18" s="3">
        <v>2878.32163233369</v>
      </c>
      <c r="D18" s="6">
        <f t="shared" si="1"/>
        <v>9.117846022</v>
      </c>
      <c r="E18" s="6">
        <v>8.48553746735069</v>
      </c>
      <c r="F18" s="6">
        <f t="shared" si="2"/>
        <v>2678.714468</v>
      </c>
    </row>
    <row r="19">
      <c r="A19" s="5">
        <v>44683.0</v>
      </c>
      <c r="B19" s="13">
        <v>314.16</v>
      </c>
      <c r="C19" s="3">
        <v>2869.37619363396</v>
      </c>
      <c r="D19" s="6">
        <f t="shared" si="1"/>
        <v>9.133486738</v>
      </c>
      <c r="E19" s="6">
        <v>8.48553746735069</v>
      </c>
      <c r="F19" s="6">
        <f t="shared" si="2"/>
        <v>2665.816451</v>
      </c>
    </row>
    <row r="20">
      <c r="A20" s="5">
        <v>44690.0</v>
      </c>
      <c r="B20" s="13">
        <v>315.5</v>
      </c>
      <c r="C20" s="3">
        <v>2897.2637033555</v>
      </c>
      <c r="D20" s="6">
        <f t="shared" si="1"/>
        <v>9.183086223</v>
      </c>
      <c r="E20" s="6">
        <v>8.48553746735069</v>
      </c>
      <c r="F20" s="6">
        <f t="shared" si="2"/>
        <v>2677.187071</v>
      </c>
    </row>
    <row r="21">
      <c r="A21" s="5">
        <v>44697.0</v>
      </c>
      <c r="B21" s="13">
        <v>311.1</v>
      </c>
      <c r="C21" s="3">
        <v>2803.088305324</v>
      </c>
      <c r="D21" s="6">
        <f t="shared" si="1"/>
        <v>9.01024849</v>
      </c>
      <c r="E21" s="6">
        <v>8.48553746735069</v>
      </c>
      <c r="F21" s="6">
        <f t="shared" si="2"/>
        <v>2639.850706</v>
      </c>
    </row>
    <row r="22">
      <c r="A22" s="5">
        <v>44704.0</v>
      </c>
      <c r="B22" s="13">
        <v>314.38</v>
      </c>
      <c r="C22" s="3">
        <v>2870.09949182636</v>
      </c>
      <c r="D22" s="6">
        <f t="shared" si="1"/>
        <v>9.129395928</v>
      </c>
      <c r="E22" s="6">
        <v>8.48553746735069</v>
      </c>
      <c r="F22" s="6">
        <f t="shared" si="2"/>
        <v>2667.683269</v>
      </c>
    </row>
    <row r="23">
      <c r="A23" s="5">
        <v>44711.0</v>
      </c>
      <c r="B23" s="13">
        <v>315.45</v>
      </c>
      <c r="C23" s="3">
        <v>2896.36496939971</v>
      </c>
      <c r="D23" s="6">
        <f t="shared" si="1"/>
        <v>9.181692723</v>
      </c>
      <c r="E23" s="6">
        <v>8.48553746735069</v>
      </c>
      <c r="F23" s="6">
        <f t="shared" si="2"/>
        <v>2676.762794</v>
      </c>
    </row>
    <row r="24">
      <c r="A24" s="5">
        <v>44718.0</v>
      </c>
      <c r="B24" s="13">
        <v>294.59</v>
      </c>
      <c r="C24" s="3">
        <v>2461.12561694975</v>
      </c>
      <c r="D24" s="6">
        <f t="shared" si="1"/>
        <v>8.354409915</v>
      </c>
      <c r="E24" s="6">
        <v>8.48553746735069</v>
      </c>
      <c r="F24" s="6">
        <f t="shared" si="2"/>
        <v>2499.754483</v>
      </c>
    </row>
    <row r="25">
      <c r="A25" s="5">
        <v>44725.0</v>
      </c>
      <c r="B25" s="13">
        <v>314.39</v>
      </c>
      <c r="C25" s="3">
        <v>2855.64992040166</v>
      </c>
      <c r="D25" s="6">
        <f t="shared" si="1"/>
        <v>9.083144885</v>
      </c>
      <c r="E25" s="6">
        <v>8.48553746735069</v>
      </c>
      <c r="F25" s="6">
        <f t="shared" si="2"/>
        <v>2667.768124</v>
      </c>
    </row>
    <row r="26">
      <c r="A26" s="5">
        <v>44732.0</v>
      </c>
      <c r="B26" s="13">
        <v>349.68</v>
      </c>
      <c r="C26" s="3">
        <v>3699.31240386861</v>
      </c>
      <c r="D26" s="6">
        <f t="shared" si="1"/>
        <v>10.57913636</v>
      </c>
      <c r="E26" s="6">
        <v>8.48553746735069</v>
      </c>
      <c r="F26" s="6">
        <f t="shared" si="2"/>
        <v>2967.222742</v>
      </c>
    </row>
    <row r="27">
      <c r="A27" s="5">
        <v>44739.0</v>
      </c>
      <c r="B27" s="13">
        <v>322.78</v>
      </c>
      <c r="C27" s="3">
        <v>3091.80731784639</v>
      </c>
      <c r="D27" s="6">
        <f t="shared" si="1"/>
        <v>9.578683059</v>
      </c>
      <c r="E27" s="6">
        <v>8.48553746735069</v>
      </c>
      <c r="F27" s="6">
        <f t="shared" si="2"/>
        <v>2738.961784</v>
      </c>
    </row>
    <row r="28">
      <c r="A28" s="5">
        <v>44746.0</v>
      </c>
      <c r="B28" s="13">
        <v>306.98</v>
      </c>
      <c r="C28" s="3">
        <v>2721.70325942578</v>
      </c>
      <c r="D28" s="6">
        <f t="shared" si="1"/>
        <v>8.866060523</v>
      </c>
      <c r="E28" s="6">
        <v>8.48553746735069</v>
      </c>
      <c r="F28" s="6">
        <f t="shared" si="2"/>
        <v>2604.890292</v>
      </c>
    </row>
    <row r="29">
      <c r="A29" s="5">
        <v>44753.0</v>
      </c>
      <c r="B29" s="13">
        <v>308.79</v>
      </c>
      <c r="C29" s="3">
        <v>2746.33806028998</v>
      </c>
      <c r="D29" s="6">
        <f t="shared" si="1"/>
        <v>8.893869815</v>
      </c>
      <c r="E29" s="6">
        <v>8.48553746735069</v>
      </c>
      <c r="F29" s="6">
        <f t="shared" si="2"/>
        <v>2620.249115</v>
      </c>
    </row>
    <row r="30">
      <c r="A30" s="5">
        <v>44760.0</v>
      </c>
      <c r="B30" s="13">
        <v>307.38</v>
      </c>
      <c r="C30" s="3">
        <v>2718.05594833884</v>
      </c>
      <c r="D30" s="6">
        <f t="shared" si="1"/>
        <v>8.842657129</v>
      </c>
      <c r="E30" s="6">
        <v>8.48553746735069</v>
      </c>
      <c r="F30" s="6">
        <f t="shared" si="2"/>
        <v>2608.284507</v>
      </c>
    </row>
    <row r="31">
      <c r="A31" s="5">
        <v>44767.0</v>
      </c>
      <c r="B31" s="13">
        <v>307.53</v>
      </c>
      <c r="C31" s="3">
        <v>2720.00594731132</v>
      </c>
      <c r="D31" s="6">
        <f t="shared" si="1"/>
        <v>8.8446849</v>
      </c>
      <c r="E31" s="6">
        <v>8.48553746735069</v>
      </c>
      <c r="F31" s="6">
        <f t="shared" si="2"/>
        <v>2609.557337</v>
      </c>
    </row>
    <row r="32">
      <c r="A32" s="5">
        <v>44774.0</v>
      </c>
      <c r="B32" s="13">
        <v>324.45</v>
      </c>
      <c r="C32" s="3">
        <v>3090.59541734002</v>
      </c>
      <c r="D32" s="6">
        <f t="shared" si="1"/>
        <v>9.525644683</v>
      </c>
      <c r="E32" s="6">
        <v>8.48553746735069</v>
      </c>
      <c r="F32" s="6">
        <f t="shared" si="2"/>
        <v>2753.132631</v>
      </c>
    </row>
    <row r="33">
      <c r="A33" s="5">
        <v>44781.0</v>
      </c>
      <c r="B33" s="13">
        <v>333.46</v>
      </c>
      <c r="C33" s="3">
        <v>3314.98334235909</v>
      </c>
      <c r="D33" s="6">
        <f t="shared" si="1"/>
        <v>9.941172382</v>
      </c>
      <c r="E33" s="6">
        <v>8.48553746735069</v>
      </c>
      <c r="F33" s="6">
        <f t="shared" si="2"/>
        <v>2829.587324</v>
      </c>
    </row>
    <row r="34">
      <c r="A34" s="5">
        <v>44788.0</v>
      </c>
      <c r="B34" s="13">
        <v>345.55</v>
      </c>
      <c r="C34" s="3">
        <v>3615.93960015123</v>
      </c>
      <c r="D34" s="6">
        <f t="shared" si="1"/>
        <v>10.46430213</v>
      </c>
      <c r="E34" s="6">
        <v>8.48553746735069</v>
      </c>
      <c r="F34" s="6">
        <f t="shared" si="2"/>
        <v>2932.177472</v>
      </c>
    </row>
    <row r="35">
      <c r="A35" s="5">
        <v>44795.0</v>
      </c>
      <c r="B35" s="13">
        <v>352.98</v>
      </c>
      <c r="C35" s="3">
        <v>3814.85090018146</v>
      </c>
      <c r="D35" s="6">
        <f t="shared" si="1"/>
        <v>10.80755539</v>
      </c>
      <c r="E35" s="6">
        <v>8.48553746735069</v>
      </c>
      <c r="F35" s="6">
        <f t="shared" si="2"/>
        <v>2995.225015</v>
      </c>
    </row>
    <row r="36">
      <c r="A36" s="5">
        <v>44802.0</v>
      </c>
      <c r="B36" s="13">
        <v>395.46</v>
      </c>
      <c r="C36" s="3">
        <v>4988.65055133136</v>
      </c>
      <c r="D36" s="6">
        <f t="shared" si="1"/>
        <v>12.61480441</v>
      </c>
      <c r="E36" s="6">
        <v>8.48553746735069</v>
      </c>
      <c r="F36" s="6">
        <f t="shared" si="2"/>
        <v>3355.690647</v>
      </c>
    </row>
    <row r="37">
      <c r="A37" s="5">
        <v>44809.0</v>
      </c>
      <c r="B37" s="13">
        <v>402.36</v>
      </c>
      <c r="C37" s="3">
        <v>5245.84171154635</v>
      </c>
      <c r="D37" s="6">
        <f t="shared" si="1"/>
        <v>13.03768196</v>
      </c>
      <c r="E37" s="6">
        <v>8.48553746735069</v>
      </c>
      <c r="F37" s="6">
        <f t="shared" si="2"/>
        <v>3414.240855</v>
      </c>
    </row>
    <row r="38">
      <c r="A38" s="5">
        <v>44816.0</v>
      </c>
      <c r="B38" s="13">
        <v>398.78</v>
      </c>
      <c r="C38" s="3">
        <v>5146.86712788438</v>
      </c>
      <c r="D38" s="6">
        <f t="shared" si="1"/>
        <v>12.90653274</v>
      </c>
      <c r="E38" s="6">
        <v>8.48553746735069</v>
      </c>
      <c r="F38" s="6">
        <f t="shared" si="2"/>
        <v>3383.862631</v>
      </c>
    </row>
    <row r="39">
      <c r="A39" s="5">
        <v>44823.0</v>
      </c>
      <c r="B39" s="13">
        <v>370.1</v>
      </c>
      <c r="C39" s="3">
        <v>4323.5049001553</v>
      </c>
      <c r="D39" s="6">
        <f t="shared" si="1"/>
        <v>11.68199108</v>
      </c>
      <c r="E39" s="6">
        <v>8.48553746735069</v>
      </c>
      <c r="F39" s="6">
        <f t="shared" si="2"/>
        <v>3140.497417</v>
      </c>
    </row>
    <row r="40">
      <c r="A40" s="5">
        <v>44830.0</v>
      </c>
      <c r="B40" s="13">
        <v>66.51</v>
      </c>
      <c r="C40" s="3">
        <v>84.0887467649742</v>
      </c>
      <c r="D40" s="6">
        <f t="shared" si="1"/>
        <v>1.264302312</v>
      </c>
      <c r="E40" s="6">
        <v>8.48553746735069</v>
      </c>
      <c r="F40" s="6">
        <f t="shared" si="2"/>
        <v>564.373097</v>
      </c>
    </row>
    <row r="41">
      <c r="A41" s="5">
        <v>44837.0</v>
      </c>
      <c r="B41" s="13">
        <v>47.36</v>
      </c>
      <c r="C41" s="3">
        <v>23.9887525784829</v>
      </c>
      <c r="D41" s="6">
        <f t="shared" si="1"/>
        <v>0.506519269</v>
      </c>
      <c r="E41" s="6">
        <v>8.48553746735069</v>
      </c>
      <c r="F41" s="6">
        <f t="shared" si="2"/>
        <v>401.8750545</v>
      </c>
    </row>
    <row r="42">
      <c r="A42" s="5">
        <v>44844.0</v>
      </c>
      <c r="B42" s="13">
        <v>68.69</v>
      </c>
      <c r="C42" s="3">
        <v>57.9618888840684</v>
      </c>
      <c r="D42" s="6">
        <f t="shared" si="1"/>
        <v>0.8438184435</v>
      </c>
      <c r="E42" s="6">
        <v>8.48553746735069</v>
      </c>
      <c r="F42" s="6">
        <f t="shared" si="2"/>
        <v>582.8715686</v>
      </c>
    </row>
    <row r="43">
      <c r="A43" s="5">
        <v>44851.0</v>
      </c>
      <c r="B43" s="13">
        <v>75.75</v>
      </c>
      <c r="C43" s="3">
        <v>76.164994392693</v>
      </c>
      <c r="D43" s="6">
        <f t="shared" si="1"/>
        <v>1.005478474</v>
      </c>
      <c r="E43" s="6">
        <v>8.48553746735069</v>
      </c>
      <c r="F43" s="6">
        <f t="shared" si="2"/>
        <v>642.7794632</v>
      </c>
    </row>
    <row r="44">
      <c r="A44" s="5">
        <v>44858.0</v>
      </c>
      <c r="B44" s="13">
        <v>62.21</v>
      </c>
      <c r="C44" s="3">
        <v>47.409610655087</v>
      </c>
      <c r="D44" s="6">
        <f t="shared" si="1"/>
        <v>0.7620898675</v>
      </c>
      <c r="E44" s="6">
        <v>8.48553746735069</v>
      </c>
      <c r="F44" s="6">
        <f t="shared" si="2"/>
        <v>527.8852858</v>
      </c>
    </row>
    <row r="45">
      <c r="A45" s="5">
        <v>44865.0</v>
      </c>
      <c r="B45" s="13">
        <v>0.0</v>
      </c>
      <c r="C45" s="3">
        <v>0.0</v>
      </c>
      <c r="D45" s="4">
        <v>0.0</v>
      </c>
      <c r="E45" s="6">
        <v>8.48553746735069</v>
      </c>
      <c r="F45" s="6">
        <f t="shared" si="2"/>
        <v>0</v>
      </c>
    </row>
    <row r="46">
      <c r="A46" s="5">
        <v>44872.0</v>
      </c>
      <c r="B46" s="13">
        <v>0.0</v>
      </c>
      <c r="C46" s="7">
        <v>0.0</v>
      </c>
      <c r="D46" s="4">
        <v>0.0</v>
      </c>
      <c r="E46" s="6">
        <v>8.48553746735069</v>
      </c>
      <c r="F46" s="6">
        <f t="shared" si="2"/>
        <v>0</v>
      </c>
    </row>
    <row r="47">
      <c r="A47" s="5">
        <v>44879.0</v>
      </c>
      <c r="B47" s="13">
        <v>542.22</v>
      </c>
      <c r="C47" s="3">
        <v>9628.55487063573</v>
      </c>
      <c r="D47" s="6">
        <f t="shared" ref="D47:D93" si="3">C47/B47</f>
        <v>17.75765348</v>
      </c>
      <c r="E47" s="6">
        <v>8.48553746735069</v>
      </c>
      <c r="F47" s="6">
        <f t="shared" si="2"/>
        <v>4601.028126</v>
      </c>
    </row>
    <row r="48">
      <c r="A48" s="5">
        <v>44886.0</v>
      </c>
      <c r="B48" s="13">
        <v>1429.11</v>
      </c>
      <c r="C48" s="3">
        <v>51801.2418903735</v>
      </c>
      <c r="D48" s="6">
        <f t="shared" si="3"/>
        <v>36.24720413</v>
      </c>
      <c r="E48" s="6">
        <v>8.48553746735069</v>
      </c>
      <c r="F48" s="6">
        <f t="shared" si="2"/>
        <v>12126.76645</v>
      </c>
    </row>
    <row r="49">
      <c r="A49" s="5">
        <v>44893.0</v>
      </c>
      <c r="B49" s="13">
        <v>165.13</v>
      </c>
      <c r="C49" s="3">
        <v>1103.71533770765</v>
      </c>
      <c r="D49" s="6">
        <f t="shared" si="3"/>
        <v>6.683917748</v>
      </c>
      <c r="E49" s="6">
        <v>8.48553746735069</v>
      </c>
      <c r="F49" s="6">
        <f t="shared" si="2"/>
        <v>1401.216802</v>
      </c>
    </row>
    <row r="50">
      <c r="A50" s="5">
        <v>44900.0</v>
      </c>
      <c r="B50" s="13">
        <v>666.44</v>
      </c>
      <c r="C50" s="3">
        <v>15460.0480694945</v>
      </c>
      <c r="D50" s="6">
        <f t="shared" si="3"/>
        <v>23.19795941</v>
      </c>
      <c r="E50" s="6">
        <v>8.48553746735069</v>
      </c>
      <c r="F50" s="6">
        <f t="shared" si="2"/>
        <v>5655.10159</v>
      </c>
    </row>
    <row r="51">
      <c r="A51" s="5">
        <v>44907.0</v>
      </c>
      <c r="B51" s="13">
        <v>841.79</v>
      </c>
      <c r="C51" s="3">
        <v>25423.418500411</v>
      </c>
      <c r="D51" s="6">
        <f t="shared" si="3"/>
        <v>30.2016162</v>
      </c>
      <c r="E51" s="6">
        <v>8.48553746735069</v>
      </c>
      <c r="F51" s="6">
        <f t="shared" si="2"/>
        <v>7143.040585</v>
      </c>
    </row>
    <row r="52">
      <c r="A52" s="5">
        <v>44914.0</v>
      </c>
      <c r="B52" s="13">
        <v>31.21</v>
      </c>
      <c r="C52" s="3">
        <v>48.0279978488992</v>
      </c>
      <c r="D52" s="6">
        <f t="shared" si="3"/>
        <v>1.538865679</v>
      </c>
      <c r="E52" s="6">
        <v>8.48553746735069</v>
      </c>
      <c r="F52" s="6">
        <f t="shared" si="2"/>
        <v>264.8336244</v>
      </c>
    </row>
    <row r="53">
      <c r="A53" s="5">
        <v>44921.0</v>
      </c>
      <c r="B53" s="13">
        <v>25.25</v>
      </c>
      <c r="C53" s="3">
        <v>4.69721808854322</v>
      </c>
      <c r="D53" s="6">
        <f t="shared" si="3"/>
        <v>0.1860284392</v>
      </c>
      <c r="E53" s="6">
        <v>8.48553746735069</v>
      </c>
      <c r="F53" s="6">
        <f t="shared" si="2"/>
        <v>214.2598211</v>
      </c>
    </row>
    <row r="54">
      <c r="A54" s="5">
        <v>44928.0</v>
      </c>
      <c r="B54" s="13">
        <v>292.75</v>
      </c>
      <c r="C54" s="3">
        <v>2196.23829031102</v>
      </c>
      <c r="D54" s="6">
        <f t="shared" si="3"/>
        <v>7.502094928</v>
      </c>
      <c r="E54" s="6">
        <v>8.48553746735069</v>
      </c>
      <c r="F54" s="6">
        <f t="shared" si="2"/>
        <v>2484.141094</v>
      </c>
    </row>
    <row r="55">
      <c r="A55" s="5">
        <v>44935.0</v>
      </c>
      <c r="B55" s="13">
        <v>546.51</v>
      </c>
      <c r="C55" s="3">
        <v>10294.0337309228</v>
      </c>
      <c r="D55" s="6">
        <f t="shared" si="3"/>
        <v>18.83594761</v>
      </c>
      <c r="E55" s="6">
        <v>8.48553746735069</v>
      </c>
      <c r="F55" s="6">
        <f t="shared" si="2"/>
        <v>4637.431081</v>
      </c>
    </row>
    <row r="56">
      <c r="A56" s="5">
        <v>44942.0</v>
      </c>
      <c r="B56" s="13">
        <v>545.62</v>
      </c>
      <c r="C56" s="3">
        <v>10690.9848399561</v>
      </c>
      <c r="D56" s="6">
        <f t="shared" si="3"/>
        <v>19.5941953</v>
      </c>
      <c r="E56" s="6">
        <v>8.48553746735069</v>
      </c>
      <c r="F56" s="6">
        <f t="shared" si="2"/>
        <v>4629.878953</v>
      </c>
    </row>
    <row r="57">
      <c r="A57" s="5">
        <v>44949.0</v>
      </c>
      <c r="B57" s="13">
        <v>568.99</v>
      </c>
      <c r="C57" s="3">
        <v>11692.7205933111</v>
      </c>
      <c r="D57" s="6">
        <f t="shared" si="3"/>
        <v>20.54995798</v>
      </c>
      <c r="E57" s="6">
        <v>8.48553746735069</v>
      </c>
      <c r="F57" s="6">
        <f t="shared" si="2"/>
        <v>4828.185964</v>
      </c>
    </row>
    <row r="58">
      <c r="A58" s="5">
        <v>44956.0</v>
      </c>
      <c r="B58" s="13">
        <v>365.71</v>
      </c>
      <c r="C58" s="3">
        <v>4393.87890299554</v>
      </c>
      <c r="D58" s="6">
        <f t="shared" si="3"/>
        <v>12.01465342</v>
      </c>
      <c r="E58" s="6">
        <v>8.48553746735069</v>
      </c>
      <c r="F58" s="6">
        <f t="shared" si="2"/>
        <v>3103.245907</v>
      </c>
    </row>
    <row r="59">
      <c r="A59" s="5">
        <v>44963.0</v>
      </c>
      <c r="B59" s="13">
        <v>209.52</v>
      </c>
      <c r="C59" s="3">
        <v>1115.17751100921</v>
      </c>
      <c r="D59" s="6">
        <f t="shared" si="3"/>
        <v>5.322534894</v>
      </c>
      <c r="E59" s="6">
        <v>8.48553746735069</v>
      </c>
      <c r="F59" s="6">
        <f t="shared" si="2"/>
        <v>1777.88981</v>
      </c>
    </row>
    <row r="60">
      <c r="A60" s="5">
        <v>44970.0</v>
      </c>
      <c r="B60" s="13">
        <v>210.12</v>
      </c>
      <c r="C60" s="3">
        <v>1043.70548126709</v>
      </c>
      <c r="D60" s="6">
        <f t="shared" si="3"/>
        <v>4.967187708</v>
      </c>
      <c r="E60" s="6">
        <v>8.48553746735069</v>
      </c>
      <c r="F60" s="6">
        <f t="shared" si="2"/>
        <v>1782.981133</v>
      </c>
    </row>
    <row r="61">
      <c r="A61" s="5">
        <v>44977.0</v>
      </c>
      <c r="B61" s="13">
        <v>209.91</v>
      </c>
      <c r="C61" s="3">
        <v>1041.4273133297</v>
      </c>
      <c r="D61" s="6">
        <f t="shared" si="3"/>
        <v>4.961303956</v>
      </c>
      <c r="E61" s="6">
        <v>8.48553746735069</v>
      </c>
      <c r="F61" s="6">
        <f t="shared" si="2"/>
        <v>1781.19917</v>
      </c>
    </row>
    <row r="62">
      <c r="A62" s="5">
        <v>44984.0</v>
      </c>
      <c r="B62" s="13">
        <v>235.59</v>
      </c>
      <c r="C62" s="3">
        <v>1379.55116535294</v>
      </c>
      <c r="D62" s="6">
        <f t="shared" si="3"/>
        <v>5.855728874</v>
      </c>
      <c r="E62" s="6">
        <v>8.48553746735069</v>
      </c>
      <c r="F62" s="6">
        <f t="shared" si="2"/>
        <v>1999.107772</v>
      </c>
    </row>
    <row r="63">
      <c r="A63" s="5">
        <v>44991.0</v>
      </c>
      <c r="B63" s="13">
        <v>286.87</v>
      </c>
      <c r="C63" s="3">
        <v>2247.48064123903</v>
      </c>
      <c r="D63" s="6">
        <f t="shared" si="3"/>
        <v>7.834491725</v>
      </c>
      <c r="E63" s="6">
        <v>8.48553746735069</v>
      </c>
      <c r="F63" s="6">
        <f t="shared" si="2"/>
        <v>2434.246133</v>
      </c>
    </row>
    <row r="64">
      <c r="A64" s="5">
        <v>44998.0</v>
      </c>
      <c r="B64" s="13">
        <v>299.83</v>
      </c>
      <c r="C64" s="3">
        <v>2543.08177864153</v>
      </c>
      <c r="D64" s="6">
        <f t="shared" si="3"/>
        <v>8.481745585</v>
      </c>
      <c r="E64" s="6">
        <v>8.48553746735069</v>
      </c>
      <c r="F64" s="6">
        <f t="shared" si="2"/>
        <v>2544.218699</v>
      </c>
    </row>
    <row r="65">
      <c r="A65" s="5">
        <v>45005.0</v>
      </c>
      <c r="B65" s="13">
        <v>307.91</v>
      </c>
      <c r="C65" s="3">
        <v>2721.50327221207</v>
      </c>
      <c r="D65" s="6">
        <f t="shared" si="3"/>
        <v>8.838632302</v>
      </c>
      <c r="E65" s="6">
        <v>8.48553746735069</v>
      </c>
      <c r="F65" s="6">
        <f t="shared" si="2"/>
        <v>2612.781842</v>
      </c>
    </row>
    <row r="66">
      <c r="A66" s="5">
        <v>45012.0</v>
      </c>
      <c r="B66" s="13">
        <v>582.95</v>
      </c>
      <c r="C66" s="3">
        <v>11878.3106120803</v>
      </c>
      <c r="D66" s="6">
        <f t="shared" si="3"/>
        <v>20.37620827</v>
      </c>
      <c r="E66" s="6">
        <v>8.48553746735069</v>
      </c>
      <c r="F66" s="6">
        <f t="shared" si="2"/>
        <v>4946.644067</v>
      </c>
    </row>
    <row r="67">
      <c r="A67" s="5">
        <v>45019.0</v>
      </c>
      <c r="B67" s="13">
        <v>358.58</v>
      </c>
      <c r="C67" s="3">
        <v>4215.468417884</v>
      </c>
      <c r="D67" s="6">
        <f t="shared" si="3"/>
        <v>11.7560054</v>
      </c>
      <c r="E67" s="6">
        <v>8.48553746735069</v>
      </c>
      <c r="F67" s="6">
        <f t="shared" si="2"/>
        <v>3042.744025</v>
      </c>
    </row>
    <row r="68">
      <c r="A68" s="5">
        <v>45026.0</v>
      </c>
      <c r="B68" s="13">
        <v>350.07</v>
      </c>
      <c r="C68" s="3">
        <v>3754.68505566471</v>
      </c>
      <c r="D68" s="6">
        <f t="shared" si="3"/>
        <v>10.72552648</v>
      </c>
      <c r="E68" s="6">
        <v>8.48553746735069</v>
      </c>
      <c r="F68" s="6">
        <f t="shared" si="2"/>
        <v>2970.532101</v>
      </c>
    </row>
    <row r="69">
      <c r="A69" s="5">
        <v>45033.0</v>
      </c>
      <c r="B69" s="13">
        <v>262.74</v>
      </c>
      <c r="C69" s="3">
        <v>1896.30946002838</v>
      </c>
      <c r="D69" s="6">
        <f t="shared" si="3"/>
        <v>7.217437238</v>
      </c>
      <c r="E69" s="6">
        <v>8.48553746735069</v>
      </c>
      <c r="F69" s="6">
        <f t="shared" si="2"/>
        <v>2229.490114</v>
      </c>
    </row>
    <row r="70">
      <c r="A70" s="5">
        <v>45040.0</v>
      </c>
      <c r="B70" s="13">
        <v>240.58</v>
      </c>
      <c r="C70" s="3">
        <v>1483.8411540763</v>
      </c>
      <c r="D70" s="6">
        <f t="shared" si="3"/>
        <v>6.167766041</v>
      </c>
      <c r="E70" s="6">
        <v>8.48553746735069</v>
      </c>
      <c r="F70" s="6">
        <f t="shared" si="2"/>
        <v>2041.450604</v>
      </c>
    </row>
    <row r="71">
      <c r="A71" s="5">
        <v>45047.0</v>
      </c>
      <c r="B71" s="13">
        <v>426.13</v>
      </c>
      <c r="C71" s="3">
        <v>5785.40149900767</v>
      </c>
      <c r="D71" s="6">
        <f t="shared" si="3"/>
        <v>13.5766116</v>
      </c>
      <c r="E71" s="6">
        <v>8.48553746735069</v>
      </c>
      <c r="F71" s="6">
        <f t="shared" si="2"/>
        <v>3615.942081</v>
      </c>
    </row>
    <row r="72">
      <c r="A72" s="5">
        <v>45054.0</v>
      </c>
      <c r="B72" s="13">
        <v>348.85</v>
      </c>
      <c r="C72" s="3">
        <v>3793.56176577466</v>
      </c>
      <c r="D72" s="6">
        <f t="shared" si="3"/>
        <v>10.87447833</v>
      </c>
      <c r="E72" s="6">
        <v>8.48553746735069</v>
      </c>
      <c r="F72" s="6">
        <f t="shared" si="2"/>
        <v>2960.179745</v>
      </c>
    </row>
    <row r="73">
      <c r="A73" s="5">
        <v>45061.0</v>
      </c>
      <c r="B73" s="13">
        <v>167.44</v>
      </c>
      <c r="C73" s="3">
        <v>651.657668103114</v>
      </c>
      <c r="D73" s="6">
        <f t="shared" si="3"/>
        <v>3.89188765</v>
      </c>
      <c r="E73" s="6">
        <v>8.48553746735069</v>
      </c>
      <c r="F73" s="6">
        <f t="shared" si="2"/>
        <v>1420.818394</v>
      </c>
    </row>
    <row r="74">
      <c r="A74" s="5">
        <v>45068.0</v>
      </c>
      <c r="B74" s="13">
        <v>228.76</v>
      </c>
      <c r="C74" s="3">
        <v>1260.51270583582</v>
      </c>
      <c r="D74" s="6">
        <f t="shared" si="3"/>
        <v>5.510197175</v>
      </c>
      <c r="E74" s="6">
        <v>8.48553746735069</v>
      </c>
      <c r="F74" s="6">
        <f t="shared" si="2"/>
        <v>1941.151551</v>
      </c>
    </row>
    <row r="75">
      <c r="A75" s="5">
        <v>45075.0</v>
      </c>
      <c r="B75" s="13">
        <v>475.55</v>
      </c>
      <c r="C75" s="3">
        <v>7441.00007023318</v>
      </c>
      <c r="D75" s="6">
        <f t="shared" si="3"/>
        <v>15.64714556</v>
      </c>
      <c r="E75" s="6">
        <v>8.48553746735069</v>
      </c>
      <c r="F75" s="6">
        <f t="shared" si="2"/>
        <v>4035.297343</v>
      </c>
    </row>
    <row r="76">
      <c r="A76" s="5">
        <v>45082.0</v>
      </c>
      <c r="B76" s="13">
        <v>494.39</v>
      </c>
      <c r="C76" s="3">
        <v>8513.35451360769</v>
      </c>
      <c r="D76" s="6">
        <f t="shared" si="3"/>
        <v>17.21991649</v>
      </c>
      <c r="E76" s="6">
        <v>8.48553746735069</v>
      </c>
      <c r="F76" s="6">
        <f t="shared" si="2"/>
        <v>4195.164868</v>
      </c>
    </row>
    <row r="77">
      <c r="A77" s="5">
        <v>45089.0</v>
      </c>
      <c r="B77" s="13">
        <v>181.03</v>
      </c>
      <c r="C77" s="3">
        <v>845.134967777736</v>
      </c>
      <c r="D77" s="6">
        <f t="shared" si="3"/>
        <v>4.668480184</v>
      </c>
      <c r="E77" s="6">
        <v>8.48553746735069</v>
      </c>
      <c r="F77" s="6">
        <f t="shared" si="2"/>
        <v>1536.136848</v>
      </c>
    </row>
    <row r="78">
      <c r="A78" s="5">
        <v>45096.0</v>
      </c>
      <c r="B78" s="13">
        <v>175.18</v>
      </c>
      <c r="C78" s="3">
        <v>659.728383756337</v>
      </c>
      <c r="D78" s="6">
        <f t="shared" si="3"/>
        <v>3.766002876</v>
      </c>
      <c r="E78" s="6">
        <v>8.48553746735069</v>
      </c>
      <c r="F78" s="6">
        <f t="shared" si="2"/>
        <v>1486.496454</v>
      </c>
    </row>
    <row r="79">
      <c r="A79" s="5">
        <v>45103.0</v>
      </c>
      <c r="B79" s="13">
        <v>175.0</v>
      </c>
      <c r="C79" s="3">
        <v>655.823257291087</v>
      </c>
      <c r="D79" s="6">
        <f t="shared" si="3"/>
        <v>3.74756147</v>
      </c>
      <c r="E79" s="6">
        <v>8.48553746735069</v>
      </c>
      <c r="F79" s="6">
        <f t="shared" si="2"/>
        <v>1484.969057</v>
      </c>
    </row>
    <row r="80">
      <c r="A80" s="5">
        <v>45110.0</v>
      </c>
      <c r="B80" s="13">
        <v>312.75</v>
      </c>
      <c r="C80" s="3">
        <v>2715.89472333526</v>
      </c>
      <c r="D80" s="6">
        <f t="shared" si="3"/>
        <v>8.683915982</v>
      </c>
      <c r="E80" s="6">
        <v>8.48553746735069</v>
      </c>
      <c r="F80" s="6">
        <f t="shared" si="2"/>
        <v>2653.851843</v>
      </c>
    </row>
    <row r="81">
      <c r="A81" s="5">
        <v>45117.0</v>
      </c>
      <c r="B81" s="13">
        <v>350.16</v>
      </c>
      <c r="C81" s="3">
        <v>3709.60693702221</v>
      </c>
      <c r="D81" s="6">
        <f t="shared" si="3"/>
        <v>10.59403398</v>
      </c>
      <c r="E81" s="6">
        <v>8.48553746735069</v>
      </c>
      <c r="F81" s="6">
        <f t="shared" si="2"/>
        <v>2971.2958</v>
      </c>
    </row>
    <row r="82">
      <c r="A82" s="5">
        <v>45124.0</v>
      </c>
      <c r="B82" s="13">
        <v>349.06</v>
      </c>
      <c r="C82" s="3">
        <v>3720.45237267123</v>
      </c>
      <c r="D82" s="6">
        <f t="shared" si="3"/>
        <v>10.65848958</v>
      </c>
      <c r="E82" s="6">
        <v>8.48553746735069</v>
      </c>
      <c r="F82" s="6">
        <f t="shared" si="2"/>
        <v>2961.961708</v>
      </c>
    </row>
    <row r="83">
      <c r="A83" s="5">
        <v>45131.0</v>
      </c>
      <c r="B83" s="13">
        <v>350.67</v>
      </c>
      <c r="C83" s="3">
        <v>3759.90024571853</v>
      </c>
      <c r="D83" s="6">
        <f t="shared" si="3"/>
        <v>10.72204707</v>
      </c>
      <c r="E83" s="6">
        <v>8.48553746735069</v>
      </c>
      <c r="F83" s="6">
        <f t="shared" si="2"/>
        <v>2975.623424</v>
      </c>
    </row>
    <row r="84">
      <c r="A84" s="5">
        <v>45138.0</v>
      </c>
      <c r="B84" s="13">
        <v>311.57</v>
      </c>
      <c r="C84" s="3">
        <v>2844.23795720412</v>
      </c>
      <c r="D84" s="6">
        <f t="shared" si="3"/>
        <v>9.128728559</v>
      </c>
      <c r="E84" s="6">
        <v>8.48553746735069</v>
      </c>
      <c r="F84" s="6">
        <f t="shared" si="2"/>
        <v>2643.838909</v>
      </c>
    </row>
    <row r="85">
      <c r="A85" s="5">
        <v>45145.0</v>
      </c>
      <c r="B85" s="13">
        <v>265.88</v>
      </c>
      <c r="C85" s="3">
        <v>1923.31725626867</v>
      </c>
      <c r="D85" s="6">
        <f t="shared" si="3"/>
        <v>7.23377936</v>
      </c>
      <c r="E85" s="6">
        <v>8.48553746735069</v>
      </c>
      <c r="F85" s="6">
        <f t="shared" si="2"/>
        <v>2256.134702</v>
      </c>
    </row>
    <row r="86">
      <c r="A86" s="5">
        <v>45152.0</v>
      </c>
      <c r="B86" s="13">
        <v>266.52</v>
      </c>
      <c r="C86" s="3">
        <v>1902.104065284</v>
      </c>
      <c r="D86" s="6">
        <f t="shared" si="3"/>
        <v>7.136815493</v>
      </c>
      <c r="E86" s="6">
        <v>8.48553746735069</v>
      </c>
      <c r="F86" s="6">
        <f t="shared" si="2"/>
        <v>2261.565446</v>
      </c>
    </row>
    <row r="87">
      <c r="A87" s="5">
        <v>45159.0</v>
      </c>
      <c r="B87" s="13">
        <v>265.64</v>
      </c>
      <c r="C87" s="3">
        <v>1887.42913914129</v>
      </c>
      <c r="D87" s="6">
        <f t="shared" si="3"/>
        <v>7.105214347</v>
      </c>
      <c r="E87" s="6">
        <v>8.48553746735069</v>
      </c>
      <c r="F87" s="6">
        <f t="shared" si="2"/>
        <v>2254.098173</v>
      </c>
    </row>
    <row r="88">
      <c r="A88" s="5">
        <v>45166.0</v>
      </c>
      <c r="B88" s="13">
        <v>122.47</v>
      </c>
      <c r="C88" s="3">
        <v>295.554268512789</v>
      </c>
      <c r="D88" s="6">
        <f t="shared" si="3"/>
        <v>2.413278913</v>
      </c>
      <c r="E88" s="6">
        <v>8.48553746735069</v>
      </c>
      <c r="F88" s="6">
        <f t="shared" si="2"/>
        <v>1039.223774</v>
      </c>
    </row>
    <row r="89">
      <c r="A89" s="5">
        <v>45173.0</v>
      </c>
      <c r="B89" s="13">
        <v>183.39</v>
      </c>
      <c r="C89" s="3">
        <v>714.53506727471</v>
      </c>
      <c r="D89" s="6">
        <f t="shared" si="3"/>
        <v>3.896259705</v>
      </c>
      <c r="E89" s="6">
        <v>8.48553746735069</v>
      </c>
      <c r="F89" s="6">
        <f t="shared" si="2"/>
        <v>1556.162716</v>
      </c>
    </row>
    <row r="90">
      <c r="A90" s="5">
        <v>45180.0</v>
      </c>
      <c r="B90" s="13">
        <v>245.07</v>
      </c>
      <c r="C90" s="3">
        <v>1502.39922865611</v>
      </c>
      <c r="D90" s="6">
        <f t="shared" si="3"/>
        <v>6.130490181</v>
      </c>
      <c r="E90" s="6">
        <v>8.48553746735069</v>
      </c>
      <c r="F90" s="6">
        <f t="shared" si="2"/>
        <v>2079.550667</v>
      </c>
    </row>
    <row r="91">
      <c r="A91" s="5">
        <v>45187.0</v>
      </c>
      <c r="B91" s="13">
        <v>165.22</v>
      </c>
      <c r="C91" s="3">
        <v>594.155216460044</v>
      </c>
      <c r="D91" s="6">
        <f t="shared" si="3"/>
        <v>3.596145845</v>
      </c>
      <c r="E91" s="6">
        <v>8.48553746735069</v>
      </c>
      <c r="F91" s="6">
        <f t="shared" si="2"/>
        <v>1401.9805</v>
      </c>
    </row>
    <row r="92">
      <c r="A92" s="5">
        <v>45194.0</v>
      </c>
      <c r="B92" s="13">
        <v>166.75</v>
      </c>
      <c r="C92" s="3">
        <v>579.281834742141</v>
      </c>
      <c r="D92" s="6">
        <f t="shared" si="3"/>
        <v>3.473954031</v>
      </c>
      <c r="E92" s="6">
        <v>8.48553746735069</v>
      </c>
      <c r="F92" s="6">
        <f t="shared" si="2"/>
        <v>1414.963373</v>
      </c>
    </row>
    <row r="93">
      <c r="A93" s="5">
        <v>45201.0</v>
      </c>
      <c r="B93" s="13">
        <v>69.15</v>
      </c>
      <c r="C93" s="3">
        <v>69.8903668394523</v>
      </c>
      <c r="D93" s="6">
        <f t="shared" si="3"/>
        <v>1.010706679</v>
      </c>
      <c r="E93" s="6">
        <v>8.48553746735069</v>
      </c>
      <c r="F93" s="6">
        <f t="shared" si="2"/>
        <v>586.7749159</v>
      </c>
    </row>
    <row r="94">
      <c r="A94" s="5">
        <v>45208.0</v>
      </c>
      <c r="B94" s="13">
        <v>0.0</v>
      </c>
      <c r="C94" s="3">
        <v>0.0</v>
      </c>
      <c r="D94" s="4">
        <v>0.0</v>
      </c>
      <c r="E94" s="6">
        <v>8.48553746735069</v>
      </c>
      <c r="F94" s="6">
        <f t="shared" si="2"/>
        <v>0</v>
      </c>
    </row>
    <row r="95">
      <c r="A95" s="5">
        <v>45215.0</v>
      </c>
      <c r="B95" s="13">
        <v>216.36</v>
      </c>
      <c r="C95" s="3">
        <v>1015.71048936475</v>
      </c>
      <c r="D95" s="6">
        <f t="shared" ref="D95:D104" si="4">C95/B95</f>
        <v>4.694539145</v>
      </c>
      <c r="E95" s="6">
        <v>8.48553746735069</v>
      </c>
      <c r="F95" s="6">
        <f t="shared" si="2"/>
        <v>1835.930886</v>
      </c>
    </row>
    <row r="96">
      <c r="A96" s="5">
        <v>45222.0</v>
      </c>
      <c r="B96" s="13">
        <v>182.58</v>
      </c>
      <c r="C96" s="3">
        <v>744.09258046323</v>
      </c>
      <c r="D96" s="6">
        <f t="shared" si="4"/>
        <v>4.075433128</v>
      </c>
      <c r="E96" s="6">
        <v>8.48553746735069</v>
      </c>
      <c r="F96" s="6">
        <f t="shared" si="2"/>
        <v>1549.289431</v>
      </c>
    </row>
    <row r="97">
      <c r="A97" s="5">
        <v>45229.0</v>
      </c>
      <c r="B97" s="13">
        <v>181.87</v>
      </c>
      <c r="C97" s="3">
        <v>723.614576365846</v>
      </c>
      <c r="D97" s="6">
        <f t="shared" si="4"/>
        <v>3.978746227</v>
      </c>
      <c r="E97" s="6">
        <v>8.48553746735069</v>
      </c>
      <c r="F97" s="6">
        <f t="shared" si="2"/>
        <v>1543.264699</v>
      </c>
    </row>
    <row r="98">
      <c r="A98" s="5">
        <v>45236.0</v>
      </c>
      <c r="B98" s="13">
        <v>181.8</v>
      </c>
      <c r="C98" s="3">
        <v>722.645369930008</v>
      </c>
      <c r="D98" s="6">
        <f t="shared" si="4"/>
        <v>3.974947029</v>
      </c>
      <c r="E98" s="6">
        <v>8.48553746735069</v>
      </c>
      <c r="F98" s="6">
        <f t="shared" si="2"/>
        <v>1542.670712</v>
      </c>
    </row>
    <row r="99">
      <c r="A99" s="5">
        <v>45243.0</v>
      </c>
      <c r="B99" s="13">
        <v>182.44</v>
      </c>
      <c r="C99" s="3">
        <v>728.855422792295</v>
      </c>
      <c r="D99" s="6">
        <f t="shared" si="4"/>
        <v>3.995041782</v>
      </c>
      <c r="E99" s="6">
        <v>8.48553746735069</v>
      </c>
      <c r="F99" s="6">
        <f t="shared" si="2"/>
        <v>1548.101456</v>
      </c>
    </row>
    <row r="100">
      <c r="A100" s="5">
        <v>45250.0</v>
      </c>
      <c r="B100" s="13">
        <v>182.23</v>
      </c>
      <c r="C100" s="3">
        <v>727.060320961003</v>
      </c>
      <c r="D100" s="6">
        <f t="shared" si="4"/>
        <v>3.98979488</v>
      </c>
      <c r="E100" s="6">
        <v>8.48553746735069</v>
      </c>
      <c r="F100" s="6">
        <f t="shared" si="2"/>
        <v>1546.319493</v>
      </c>
    </row>
    <row r="101">
      <c r="A101" s="5">
        <v>45257.0</v>
      </c>
      <c r="B101" s="13">
        <v>310.62</v>
      </c>
      <c r="C101" s="3">
        <v>2677.3590648841</v>
      </c>
      <c r="D101" s="6">
        <f t="shared" si="4"/>
        <v>8.619403338</v>
      </c>
      <c r="E101" s="6">
        <v>8.48553746735069</v>
      </c>
      <c r="F101" s="6">
        <f t="shared" si="2"/>
        <v>2635.777648</v>
      </c>
    </row>
    <row r="102">
      <c r="A102" s="5">
        <v>45264.0</v>
      </c>
      <c r="B102" s="13">
        <v>548.2</v>
      </c>
      <c r="C102" s="3">
        <v>10394.8179286539</v>
      </c>
      <c r="D102" s="6">
        <f t="shared" si="4"/>
        <v>18.96172552</v>
      </c>
      <c r="E102" s="6">
        <v>8.48553746735069</v>
      </c>
      <c r="F102" s="6">
        <f t="shared" si="2"/>
        <v>4651.77164</v>
      </c>
    </row>
    <row r="103">
      <c r="A103" s="5">
        <v>45271.0</v>
      </c>
      <c r="B103" s="13">
        <v>466.02</v>
      </c>
      <c r="C103" s="3">
        <v>7568.33618844473</v>
      </c>
      <c r="D103" s="6">
        <f t="shared" si="4"/>
        <v>16.24036777</v>
      </c>
      <c r="E103" s="6">
        <v>8.48553746735069</v>
      </c>
      <c r="F103" s="6">
        <f t="shared" si="2"/>
        <v>3954.430171</v>
      </c>
    </row>
    <row r="104">
      <c r="A104" s="5">
        <v>45278.0</v>
      </c>
      <c r="B104" s="13">
        <v>88.58</v>
      </c>
      <c r="C104" s="3">
        <v>170.827069536041</v>
      </c>
      <c r="D104" s="6">
        <f t="shared" si="4"/>
        <v>1.928506091</v>
      </c>
      <c r="E104" s="6">
        <v>8.48553746735069</v>
      </c>
      <c r="F104" s="6">
        <f t="shared" si="2"/>
        <v>751.6489089</v>
      </c>
    </row>
    <row r="105">
      <c r="A105" s="5">
        <v>45285.0</v>
      </c>
      <c r="B105" s="13">
        <v>0.0</v>
      </c>
      <c r="C105" s="3">
        <v>0.0</v>
      </c>
      <c r="D105" s="4">
        <v>0.0</v>
      </c>
      <c r="E105" s="6">
        <v>8.48553746735069</v>
      </c>
      <c r="F105" s="6">
        <f t="shared" si="2"/>
        <v>0</v>
      </c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</sheetData>
  <drawing r:id="rId1"/>
</worksheet>
</file>